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792" yWindow="0" windowWidth="23979" windowHeight="15151" tabRatio="924" activeTab="1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" sheetId="34" r:id="rId5"/>
    <sheet name="CapEx_Actual" sheetId="3" r:id="rId6"/>
    <sheet name="Debt Schedule_Actual" sheetId="6" r:id="rId7"/>
    <sheet name="DimDirection" sheetId="35" r:id="rId8"/>
    <sheet name="OPEX_Actual" sheetId="36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4" i="37" l="1"/>
  <c r="C14" i="37"/>
  <c r="D14" i="37"/>
  <c r="E14" i="37"/>
  <c r="F14" i="37"/>
  <c r="G14" i="37"/>
  <c r="H14" i="37"/>
  <c r="I14" i="37"/>
  <c r="J14" i="37"/>
  <c r="K14" i="37"/>
  <c r="L14" i="37"/>
  <c r="M14" i="37"/>
  <c r="N14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B10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B12" i="37"/>
  <c r="D9" i="37"/>
  <c r="F9" i="37"/>
  <c r="H9" i="37"/>
  <c r="J9" i="37"/>
  <c r="L9" i="37"/>
  <c r="N9" i="37"/>
  <c r="C6" i="37"/>
  <c r="C9" i="37" s="1"/>
  <c r="D6" i="37"/>
  <c r="E6" i="37"/>
  <c r="E9" i="37" s="1"/>
  <c r="F6" i="37"/>
  <c r="G6" i="37"/>
  <c r="G9" i="37" s="1"/>
  <c r="H6" i="37"/>
  <c r="I6" i="37"/>
  <c r="I9" i="37" s="1"/>
  <c r="J6" i="37"/>
  <c r="K6" i="37"/>
  <c r="K9" i="37" s="1"/>
  <c r="L6" i="37"/>
  <c r="M6" i="37"/>
  <c r="M9" i="37" s="1"/>
  <c r="N6" i="37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Z9" i="37"/>
  <c r="Y9" i="37"/>
  <c r="X9" i="37"/>
  <c r="W9" i="37"/>
  <c r="V9" i="37"/>
  <c r="U9" i="37"/>
  <c r="T9" i="37"/>
  <c r="S9" i="37"/>
  <c r="R9" i="37"/>
  <c r="Q9" i="37"/>
  <c r="P9" i="37"/>
  <c r="O9" i="37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C21" i="1" l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L36" i="2" s="1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B7" i="6" s="1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C2" i="6" l="1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D2" i="6" s="1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7" i="6"/>
  <c r="H12" i="1" s="1"/>
  <c r="D7" i="6"/>
  <c r="D12" i="1" s="1"/>
  <c r="F7" i="6"/>
  <c r="F12" i="1" s="1"/>
  <c r="I7" i="6"/>
  <c r="I12" i="1" s="1"/>
  <c r="K7" i="3"/>
  <c r="K22" i="1" s="1"/>
  <c r="J7" i="3"/>
  <c r="J22" i="1" s="1"/>
  <c r="S7" i="6" l="1"/>
  <c r="J7" i="6"/>
  <c r="J12" i="1" s="1"/>
  <c r="Q7" i="6"/>
  <c r="L7" i="6"/>
  <c r="L12" i="1" s="1"/>
  <c r="K7" i="6"/>
  <c r="K12" i="1" s="1"/>
  <c r="G7" i="6"/>
  <c r="G12" i="1" s="1"/>
  <c r="Z7" i="6"/>
  <c r="W7" i="6"/>
  <c r="O7" i="6"/>
  <c r="U7" i="6"/>
  <c r="R7" i="6"/>
  <c r="N7" i="6"/>
  <c r="N12" i="1" s="1"/>
  <c r="E7" i="6"/>
  <c r="E12" i="1" s="1"/>
  <c r="Y7" i="6"/>
  <c r="V7" i="6"/>
  <c r="X7" i="6"/>
  <c r="T7" i="6"/>
  <c r="M7" i="6"/>
  <c r="M12" i="1" s="1"/>
  <c r="P7" i="6"/>
  <c r="C7" i="6"/>
  <c r="C12" i="1" s="1"/>
  <c r="L7" i="3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C3" i="1"/>
  <c r="D3" i="1"/>
  <c r="E3" i="1"/>
  <c r="F3" i="1"/>
  <c r="G3" i="1"/>
  <c r="H3" i="1"/>
  <c r="I3" i="1"/>
  <c r="I5" i="1" s="1"/>
  <c r="I15" i="1" s="1"/>
  <c r="J3" i="1"/>
  <c r="K3" i="1"/>
  <c r="K5" i="1" s="1"/>
  <c r="K15" i="1" s="1"/>
  <c r="K16" i="1" s="1"/>
  <c r="K17" i="1" s="1"/>
  <c r="L3" i="1"/>
  <c r="L5" i="1" s="1"/>
  <c r="L15" i="1" s="1"/>
  <c r="M3" i="1"/>
  <c r="N3" i="1"/>
  <c r="N5" i="1" s="1"/>
  <c r="N15" i="1" s="1"/>
  <c r="B3" i="1"/>
  <c r="J5" i="1" l="1"/>
  <c r="J15" i="1" s="1"/>
  <c r="J16" i="1" s="1"/>
  <c r="J17" i="1" s="1"/>
  <c r="H5" i="1"/>
  <c r="H15" i="1" s="1"/>
  <c r="H16" i="1" s="1"/>
  <c r="H17" i="1" s="1"/>
  <c r="N16" i="1"/>
  <c r="N17" i="1" s="1"/>
  <c r="I16" i="1"/>
  <c r="I17" i="1" s="1"/>
  <c r="L16" i="1"/>
  <c r="L17" i="1" s="1"/>
  <c r="L21" i="1" s="1"/>
  <c r="M5" i="1"/>
  <c r="M15" i="1" s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F15" i="1" s="1"/>
  <c r="G36" i="26"/>
  <c r="G4" i="1" s="1"/>
  <c r="G5" i="1" s="1"/>
  <c r="G15" i="1" s="1"/>
  <c r="G16" i="1" s="1"/>
  <c r="G17" i="1" s="1"/>
  <c r="D21" i="1" l="1"/>
  <c r="I21" i="1"/>
  <c r="E21" i="1"/>
  <c r="H21" i="1"/>
  <c r="J21" i="1"/>
  <c r="K21" i="1"/>
  <c r="M16" i="1"/>
  <c r="N21" i="1" s="1"/>
  <c r="F16" i="1"/>
  <c r="G21" i="1" s="1"/>
  <c r="F17" i="1" l="1"/>
  <c r="F21" i="1" s="1"/>
  <c r="M17" i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P5" i="1" l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V36" i="2"/>
  <c r="V3" i="1" s="1"/>
  <c r="U36" i="2"/>
  <c r="U3" i="1" s="1"/>
  <c r="U5" i="1" l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U9" i="36"/>
  <c r="T32" i="1"/>
  <c r="T33" i="1" s="1"/>
  <c r="X36" i="2"/>
  <c r="X3" i="1" s="1"/>
  <c r="Y36" i="2"/>
  <c r="Y3" i="1" s="1"/>
  <c r="Z36" i="2"/>
  <c r="Z3" i="1" s="1"/>
  <c r="X5" i="1" l="1"/>
  <c r="X15" i="1" s="1"/>
  <c r="X16" i="1" s="1"/>
  <c r="X17" i="1" s="1"/>
  <c r="X21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X32" i="1"/>
  <c r="X33" i="1" s="1"/>
  <c r="O4" i="1" l="1"/>
  <c r="O36" i="2" l="1"/>
  <c r="O3" i="1" l="1"/>
  <c r="S36" i="2"/>
  <c r="S3" i="1" s="1"/>
  <c r="O5" i="1" l="1"/>
  <c r="P9" i="36"/>
  <c r="S5" i="1"/>
  <c r="S15" i="1" s="1"/>
  <c r="S16" i="1" s="1"/>
  <c r="S17" i="1" s="1"/>
  <c r="S21" i="1" s="1"/>
  <c r="T9" i="36"/>
  <c r="W36" i="2"/>
  <c r="W3" i="1" s="1"/>
  <c r="W5" i="1" l="1"/>
  <c r="W15" i="1" s="1"/>
  <c r="W16" i="1" s="1"/>
  <c r="W17" i="1" s="1"/>
  <c r="W21" i="1" s="1"/>
  <c r="X9" i="36"/>
  <c r="H23" i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sharedStrings.xml><?xml version="1.0" encoding="utf-8"?>
<sst xmlns="http://schemas.openxmlformats.org/spreadsheetml/2006/main" count="185" uniqueCount="97">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</sst>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  <xf numFmtId="0" fontId="16" fillId="0" borderId="0" xfId="41"/>
    <xf numFmtId="0" fontId="0" fillId="0" borderId="1" xfId="0" applyFill="1" applyBorder="1"/>
    <xf numFmtId="1" fontId="0" fillId="0" borderId="1" xfId="0" applyNumberFormat="1" applyFill="1" applyBorder="1"/>
    <xf numFmtId="165" fontId="6" fillId="0" borderId="1" xfId="1" applyNumberFormat="1" applyFont="1" applyFill="1" applyBorder="1" applyAlignment="1">
      <alignment horizontal="center" vertical="center" wrapText="1"/>
    </xf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21" sqref="A21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ht="14.4" x14ac:dyDescent="0.2">
      <c r="A2" s="18" t="s">
        <v>17</v>
      </c>
      <c r="B2" s="82">
        <v>5297</v>
      </c>
      <c r="C2" s="82">
        <f>B33</f>
        <v>9007.3539842835198</v>
      </c>
      <c r="D2" s="82">
        <f t="shared" ref="D2:N2" si="0">C33</f>
        <v>970.11401264363667</v>
      </c>
      <c r="E2" s="82">
        <f t="shared" si="0"/>
        <v>69128.378897873175</v>
      </c>
      <c r="F2" s="82">
        <f t="shared" si="0"/>
        <v>61973.066677937182</v>
      </c>
      <c r="G2" s="82">
        <f t="shared" si="0"/>
        <v>3377.1198957684828</v>
      </c>
      <c r="H2" s="82">
        <f t="shared" si="0"/>
        <v>3199.7224747239125</v>
      </c>
      <c r="I2" s="82">
        <f t="shared" si="0"/>
        <v>36410.411294655423</v>
      </c>
      <c r="J2" s="82">
        <f t="shared" si="0"/>
        <v>9217.3930356614001</v>
      </c>
      <c r="K2" s="82">
        <f t="shared" si="0"/>
        <v>49978.599445284752</v>
      </c>
      <c r="L2" s="82">
        <f t="shared" si="0"/>
        <v>32938.589097162141</v>
      </c>
      <c r="M2" s="82">
        <f t="shared" si="0"/>
        <v>51467.687001131359</v>
      </c>
      <c r="N2" s="82">
        <f t="shared" si="0"/>
        <v>106260.36872833429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</row>
    <row r="3" spans="1:26" s="2" customFormat="1" ht="14.4" x14ac:dyDescent="0.2">
      <c r="A3" s="19" t="s">
        <v>18</v>
      </c>
      <c r="B3" s="29">
        <f>Sales_Actual!B36</f>
        <v>135435.68620519497</v>
      </c>
      <c r="C3" s="29">
        <f>Sales_Actual!C36</f>
        <v>244562.49868600001</v>
      </c>
      <c r="D3" s="29">
        <f>Sales_Actual!D36</f>
        <v>321836.11647199997</v>
      </c>
      <c r="E3" s="29">
        <f>Sales_Actual!E36</f>
        <v>251700.584088</v>
      </c>
      <c r="F3" s="29">
        <f>Sales_Actual!F36</f>
        <v>216272.40496000004</v>
      </c>
      <c r="G3" s="29">
        <f>Sales_Actual!G36</f>
        <v>288852.44839999999</v>
      </c>
      <c r="H3" s="29">
        <f>Sales_Actual!H36</f>
        <v>319230.19959999999</v>
      </c>
      <c r="I3" s="29">
        <f>Sales_Actual!I36</f>
        <v>276102.00459999999</v>
      </c>
      <c r="J3" s="29">
        <f>Sales_Actual!J36</f>
        <v>202930.22502851766</v>
      </c>
      <c r="K3" s="29">
        <f>Sales_Actual!K36</f>
        <v>325847.1829512</v>
      </c>
      <c r="L3" s="29">
        <f>Sales_Actual!L36</f>
        <v>438334.63400043797</v>
      </c>
      <c r="M3" s="29">
        <f>Sales_Actual!M36</f>
        <v>285642.57159265963</v>
      </c>
      <c r="N3" s="29">
        <f>Sales_Actual!N36</f>
        <v>257525.83840000001</v>
      </c>
      <c r="O3" s="58">
        <f>Sales_Actual!O36</f>
        <v>0</v>
      </c>
      <c r="P3" s="58">
        <f>Sales_Actual!P36</f>
        <v>0</v>
      </c>
      <c r="Q3" s="58">
        <f>Sales_Actual!Q36</f>
        <v>0</v>
      </c>
      <c r="R3" s="58">
        <f>Sales_Actual!R36</f>
        <v>0</v>
      </c>
      <c r="S3" s="58">
        <f>Sales_Actual!S36</f>
        <v>0</v>
      </c>
      <c r="T3" s="58">
        <f>Sales_Actual!T36</f>
        <v>0</v>
      </c>
      <c r="U3" s="58">
        <f>Sales_Actual!U36</f>
        <v>0</v>
      </c>
      <c r="V3" s="58">
        <f>Sales_Actual!V36</f>
        <v>0</v>
      </c>
      <c r="W3" s="58">
        <f>Sales_Actual!W36</f>
        <v>0</v>
      </c>
      <c r="X3" s="58">
        <f>Sales_Actual!X36</f>
        <v>0</v>
      </c>
      <c r="Y3" s="58">
        <f>Sales_Actual!Y36</f>
        <v>0</v>
      </c>
      <c r="Z3" s="58">
        <f>Sales_Actual!Z36</f>
        <v>0</v>
      </c>
    </row>
    <row r="4" spans="1:26" ht="14.4" x14ac:dyDescent="0.2">
      <c r="A4" s="17" t="s">
        <v>19</v>
      </c>
      <c r="B4" s="28">
        <f>COGS_Actual!B36</f>
        <v>89468.322930507842</v>
      </c>
      <c r="C4" s="28">
        <f>COGS_Actual!C36</f>
        <v>168385.50683749345</v>
      </c>
      <c r="D4" s="28">
        <f>COGS_Actual!D36</f>
        <v>211331.00419095601</v>
      </c>
      <c r="E4" s="28">
        <f>COGS_Actual!E36</f>
        <v>160344.72898928096</v>
      </c>
      <c r="F4" s="28">
        <f>COGS_Actual!F36</f>
        <v>144339.06022485573</v>
      </c>
      <c r="G4" s="28">
        <f>COGS_Actual!G36</f>
        <v>191698.50191316073</v>
      </c>
      <c r="H4" s="28">
        <f>COGS_Actual!H36</f>
        <v>211024.60551697999</v>
      </c>
      <c r="I4" s="28">
        <f>COGS_Actual!I36</f>
        <v>189879.10080383945</v>
      </c>
      <c r="J4" s="28">
        <f>COGS_Actual!J36</f>
        <v>112030.2380929425</v>
      </c>
      <c r="K4" s="28">
        <f>COGS_Actual!K36</f>
        <v>205839.81494705111</v>
      </c>
      <c r="L4" s="28">
        <f>COGS_Actual!L36</f>
        <v>289710.15562223364</v>
      </c>
      <c r="M4" s="28">
        <f>COGS_Actual!M36</f>
        <v>188660.32394792029</v>
      </c>
      <c r="N4" s="28">
        <f>COGS_Actual!N36</f>
        <v>159476.15675481889</v>
      </c>
      <c r="O4" s="59">
        <f>COGS_Actual!O36</f>
        <v>0</v>
      </c>
      <c r="P4" s="59">
        <f>COGS_Actual!P36</f>
        <v>0</v>
      </c>
      <c r="Q4" s="59">
        <f>COGS_Actual!Q36</f>
        <v>0</v>
      </c>
      <c r="R4" s="59">
        <f>COGS_Actual!R36</f>
        <v>0</v>
      </c>
      <c r="S4" s="59">
        <f>COGS_Actual!S36</f>
        <v>0</v>
      </c>
      <c r="T4" s="59">
        <f>COGS_Actual!T36</f>
        <v>0</v>
      </c>
      <c r="U4" s="59">
        <f>COGS_Actual!U36</f>
        <v>0</v>
      </c>
      <c r="V4" s="59">
        <f>COGS_Actual!V36</f>
        <v>0</v>
      </c>
      <c r="W4" s="59">
        <f>COGS_Actual!W36</f>
        <v>0</v>
      </c>
      <c r="X4" s="59">
        <f>COGS_Actual!X36</f>
        <v>0</v>
      </c>
      <c r="Y4" s="59">
        <f>COGS_Actual!Y36</f>
        <v>0</v>
      </c>
      <c r="Z4" s="59">
        <f>COGS_Actual!Z36</f>
        <v>0</v>
      </c>
    </row>
    <row r="5" spans="1:26" ht="16.45" customHeight="1" x14ac:dyDescent="0.2">
      <c r="A5" s="19" t="s">
        <v>20</v>
      </c>
      <c r="B5" s="29">
        <f t="shared" ref="B5:N5" si="1">B3-B4</f>
        <v>45967.36327468713</v>
      </c>
      <c r="C5" s="29">
        <f t="shared" si="1"/>
        <v>76176.991848506557</v>
      </c>
      <c r="D5" s="29">
        <f t="shared" si="1"/>
        <v>110505.11228104396</v>
      </c>
      <c r="E5" s="29">
        <f t="shared" si="1"/>
        <v>91355.855098719039</v>
      </c>
      <c r="F5" s="29">
        <f t="shared" si="1"/>
        <v>71933.344735144317</v>
      </c>
      <c r="G5" s="29">
        <f t="shared" si="1"/>
        <v>97153.946486839268</v>
      </c>
      <c r="H5" s="29">
        <f t="shared" si="1"/>
        <v>108205.59408302</v>
      </c>
      <c r="I5" s="29">
        <f t="shared" si="1"/>
        <v>86222.903796160535</v>
      </c>
      <c r="J5" s="29">
        <f t="shared" si="1"/>
        <v>90899.986935575158</v>
      </c>
      <c r="K5" s="29">
        <f t="shared" si="1"/>
        <v>120007.36800414888</v>
      </c>
      <c r="L5" s="29">
        <f t="shared" si="1"/>
        <v>148624.47837820434</v>
      </c>
      <c r="M5" s="29">
        <f t="shared" si="1"/>
        <v>96982.247644739342</v>
      </c>
      <c r="N5" s="29">
        <f t="shared" si="1"/>
        <v>98049.681645181117</v>
      </c>
      <c r="O5" s="58">
        <f t="shared" ref="O5" si="2">O3-O4</f>
        <v>0</v>
      </c>
      <c r="P5" s="58">
        <f t="shared" ref="P5:Z5" si="3">P3-P4</f>
        <v>0</v>
      </c>
      <c r="Q5" s="58">
        <f t="shared" si="3"/>
        <v>0</v>
      </c>
      <c r="R5" s="58">
        <f t="shared" si="3"/>
        <v>0</v>
      </c>
      <c r="S5" s="58">
        <f t="shared" si="3"/>
        <v>0</v>
      </c>
      <c r="T5" s="58">
        <f t="shared" si="3"/>
        <v>0</v>
      </c>
      <c r="U5" s="58">
        <f t="shared" si="3"/>
        <v>0</v>
      </c>
      <c r="V5" s="58">
        <f t="shared" si="3"/>
        <v>0</v>
      </c>
      <c r="W5" s="58">
        <f t="shared" si="3"/>
        <v>0</v>
      </c>
      <c r="X5" s="58">
        <f t="shared" si="3"/>
        <v>0</v>
      </c>
      <c r="Y5" s="58">
        <f t="shared" si="3"/>
        <v>0</v>
      </c>
      <c r="Z5" s="58">
        <f t="shared" si="3"/>
        <v>0</v>
      </c>
    </row>
    <row r="6" spans="1:26" ht="14.4" x14ac:dyDescent="0.2">
      <c r="A6" s="17" t="s">
        <v>21</v>
      </c>
      <c r="B6" s="28">
        <v>14399.516236519896</v>
      </c>
      <c r="C6" s="28">
        <v>7124.7716439462256</v>
      </c>
      <c r="D6" s="28">
        <v>7284.9604795999412</v>
      </c>
      <c r="E6" s="28">
        <v>12710.128183842051</v>
      </c>
      <c r="F6" s="28">
        <v>15390.559450994957</v>
      </c>
      <c r="G6" s="28">
        <v>29039.315010605518</v>
      </c>
      <c r="H6" s="28">
        <v>7776.3835690594196</v>
      </c>
      <c r="I6" s="28">
        <v>13914.016747655929</v>
      </c>
      <c r="J6" s="28">
        <v>48525.177423198882</v>
      </c>
      <c r="K6" s="28">
        <v>19263.813273176031</v>
      </c>
      <c r="L6" s="28">
        <v>13773.090306479769</v>
      </c>
      <c r="M6" s="28">
        <v>11387.527078326964</v>
      </c>
      <c r="N6" s="28">
        <v>14025.018298429239</v>
      </c>
      <c r="O6" s="46">
        <v>0</v>
      </c>
      <c r="P6" s="46">
        <v>0</v>
      </c>
      <c r="Q6" s="46">
        <v>0</v>
      </c>
      <c r="R6" s="46">
        <v>0</v>
      </c>
      <c r="S6" s="46">
        <v>0</v>
      </c>
      <c r="T6" s="46">
        <v>0</v>
      </c>
      <c r="U6" s="46">
        <v>0</v>
      </c>
      <c r="V6" s="46">
        <v>0</v>
      </c>
      <c r="W6" s="46">
        <v>0</v>
      </c>
      <c r="X6" s="46">
        <v>0</v>
      </c>
      <c r="Y6" s="46">
        <v>0</v>
      </c>
      <c r="Z6" s="46">
        <v>0</v>
      </c>
    </row>
    <row r="7" spans="1:26" ht="14.4" x14ac:dyDescent="0.2">
      <c r="A7" s="17" t="s">
        <v>22</v>
      </c>
      <c r="B7" s="28">
        <v>5221.4100000000008</v>
      </c>
      <c r="C7" s="28">
        <v>5077.4039473138882</v>
      </c>
      <c r="D7" s="28">
        <v>5292.0598426974839</v>
      </c>
      <c r="E7" s="28">
        <v>5445.885423882276</v>
      </c>
      <c r="F7" s="28">
        <v>5947.9817635513837</v>
      </c>
      <c r="G7" s="28">
        <v>6276.1936383335005</v>
      </c>
      <c r="H7" s="28">
        <v>6158.1913004311909</v>
      </c>
      <c r="I7" s="28">
        <v>6262.9148224632463</v>
      </c>
      <c r="J7" s="28">
        <v>6849.6307399163043</v>
      </c>
      <c r="K7" s="28">
        <v>6976.564940785358</v>
      </c>
      <c r="L7" s="28">
        <v>7389.3893698221445</v>
      </c>
      <c r="M7" s="28">
        <v>7633.5354892738142</v>
      </c>
      <c r="N7" s="28">
        <v>7850.9178520602227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ht="14.4" x14ac:dyDescent="0.2">
      <c r="A8" s="17" t="s">
        <v>23</v>
      </c>
      <c r="B8" s="28">
        <v>10791.767647343784</v>
      </c>
      <c r="C8" s="28">
        <v>22118.185779663774</v>
      </c>
      <c r="D8" s="28">
        <v>22270.877047942253</v>
      </c>
      <c r="E8" s="28">
        <v>18925.539840947367</v>
      </c>
      <c r="F8" s="28">
        <v>17371.465885558388</v>
      </c>
      <c r="G8" s="28">
        <v>27549.329253210872</v>
      </c>
      <c r="H8" s="28">
        <v>25308.562941317854</v>
      </c>
      <c r="I8" s="28">
        <v>19790.536692252914</v>
      </c>
      <c r="J8" s="28">
        <v>11919.093924847031</v>
      </c>
      <c r="K8" s="28">
        <v>29448.34128276811</v>
      </c>
      <c r="L8" s="28">
        <v>28097.445452419732</v>
      </c>
      <c r="M8" s="28">
        <v>21039.852723164528</v>
      </c>
      <c r="N8" s="28">
        <v>18429.03242892872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ht="14.4" x14ac:dyDescent="0.25">
      <c r="A9" s="17" t="s">
        <v>24</v>
      </c>
      <c r="B9" s="28">
        <v>13789</v>
      </c>
      <c r="C9" s="90">
        <v>9119.4</v>
      </c>
      <c r="D9" s="90">
        <v>5668</v>
      </c>
      <c r="E9" s="90">
        <v>6575</v>
      </c>
      <c r="F9" s="90">
        <v>20570</v>
      </c>
      <c r="G9" s="90">
        <v>39639</v>
      </c>
      <c r="H9" s="90">
        <v>10496.1</v>
      </c>
      <c r="I9" s="82">
        <v>19853</v>
      </c>
      <c r="J9" s="82">
        <v>22147.3</v>
      </c>
      <c r="K9" s="82">
        <v>26623.9</v>
      </c>
      <c r="L9" s="82">
        <v>18349</v>
      </c>
      <c r="M9" s="82">
        <v>8578</v>
      </c>
      <c r="N9" s="82">
        <v>11553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ht="18" customHeight="1" x14ac:dyDescent="0.2">
      <c r="A10" s="17" t="s">
        <v>25</v>
      </c>
      <c r="B10" s="28">
        <v>11916</v>
      </c>
      <c r="C10" s="28">
        <v>12527</v>
      </c>
      <c r="D10" s="28">
        <v>15744</v>
      </c>
      <c r="E10" s="28">
        <v>16382</v>
      </c>
      <c r="F10" s="28">
        <v>16988</v>
      </c>
      <c r="G10" s="28">
        <v>16110</v>
      </c>
      <c r="H10" s="28">
        <v>16780</v>
      </c>
      <c r="I10" s="28">
        <v>17012</v>
      </c>
      <c r="J10" s="28">
        <v>16950</v>
      </c>
      <c r="K10" s="28">
        <v>16830</v>
      </c>
      <c r="L10" s="28">
        <v>16780</v>
      </c>
      <c r="M10" s="28">
        <v>16934</v>
      </c>
      <c r="N10" s="28">
        <v>16750</v>
      </c>
      <c r="O10" s="46">
        <v>0</v>
      </c>
      <c r="P10" s="46">
        <v>0</v>
      </c>
      <c r="Q10" s="46">
        <v>0</v>
      </c>
      <c r="R10" s="46">
        <v>0</v>
      </c>
      <c r="S10" s="46">
        <v>0</v>
      </c>
      <c r="T10" s="46">
        <v>0</v>
      </c>
      <c r="U10" s="46">
        <v>0</v>
      </c>
      <c r="V10" s="46">
        <v>0</v>
      </c>
      <c r="W10" s="46">
        <v>0</v>
      </c>
      <c r="X10" s="46">
        <v>0</v>
      </c>
      <c r="Y10" s="46">
        <v>0</v>
      </c>
      <c r="Z10" s="46">
        <v>0</v>
      </c>
    </row>
    <row r="11" spans="1:26" ht="23.5" customHeight="1" x14ac:dyDescent="0.2">
      <c r="A11" s="17" t="s">
        <v>36</v>
      </c>
      <c r="B11" s="82">
        <v>2</v>
      </c>
      <c r="C11" s="82">
        <v>12.1</v>
      </c>
      <c r="D11" s="82">
        <v>3.12</v>
      </c>
      <c r="E11" s="82">
        <v>1.91</v>
      </c>
      <c r="F11" s="82">
        <v>0</v>
      </c>
      <c r="G11" s="82">
        <v>0</v>
      </c>
      <c r="H11" s="82">
        <v>0</v>
      </c>
      <c r="I11" s="82">
        <v>0</v>
      </c>
      <c r="J11" s="82">
        <v>8</v>
      </c>
      <c r="K11" s="82">
        <v>20</v>
      </c>
      <c r="L11" s="82">
        <v>22</v>
      </c>
      <c r="M11" s="82">
        <v>15.3</v>
      </c>
      <c r="N11" s="82">
        <v>18.600000000000001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s="16" customFormat="1" ht="23.5" customHeight="1" x14ac:dyDescent="0.2">
      <c r="A12" s="17" t="s">
        <v>37</v>
      </c>
      <c r="B12" s="82">
        <v>0</v>
      </c>
      <c r="C12" s="82">
        <f>'Debt Schedule_Actual'!C7</f>
        <v>1140</v>
      </c>
      <c r="D12" s="82">
        <f>'Debt Schedule_Actual'!D7</f>
        <v>1140</v>
      </c>
      <c r="E12" s="82">
        <f>'Debt Schedule_Actual'!E7</f>
        <v>0</v>
      </c>
      <c r="F12" s="82">
        <f>'Debt Schedule_Actual'!F7</f>
        <v>190</v>
      </c>
      <c r="G12" s="82">
        <f>'Debt Schedule_Actual'!G7</f>
        <v>2470</v>
      </c>
      <c r="H12" s="82">
        <f>'Debt Schedule_Actual'!H7</f>
        <v>4940</v>
      </c>
      <c r="I12" s="82">
        <f>'Debt Schedule_Actual'!I7</f>
        <v>6650</v>
      </c>
      <c r="J12" s="82">
        <f>'Debt Schedule_Actual'!J7</f>
        <v>7980</v>
      </c>
      <c r="K12" s="82">
        <f>'Debt Schedule_Actual'!K7</f>
        <v>7030</v>
      </c>
      <c r="L12" s="82">
        <f>'Debt Schedule_Actual'!L7</f>
        <v>3040</v>
      </c>
      <c r="M12" s="82">
        <f>'Debt Schedule_Actual'!M7</f>
        <v>0</v>
      </c>
      <c r="N12" s="82">
        <f>'Debt Schedule_Actual'!N7</f>
        <v>0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s="4" customFormat="1" ht="14.4" x14ac:dyDescent="0.2">
      <c r="A13" s="17" t="s">
        <v>26</v>
      </c>
      <c r="B13" s="28">
        <v>824.13310852385462</v>
      </c>
      <c r="C13" s="28">
        <v>570.23576492421478</v>
      </c>
      <c r="D13" s="28">
        <v>39.497635291158744</v>
      </c>
      <c r="E13" s="28">
        <v>17.395257260193599</v>
      </c>
      <c r="F13" s="28">
        <v>67.188391617289625</v>
      </c>
      <c r="G13" s="28">
        <v>61.587818095708379</v>
      </c>
      <c r="H13" s="28">
        <v>26.76718265313831</v>
      </c>
      <c r="I13" s="28">
        <v>22.805152064360499</v>
      </c>
      <c r="J13" s="28">
        <v>68.600566881583489</v>
      </c>
      <c r="K13" s="28">
        <v>11.289030298717996</v>
      </c>
      <c r="L13" s="28">
        <v>75.667474322306674</v>
      </c>
      <c r="M13" s="28">
        <v>13.047802462489905</v>
      </c>
      <c r="N13" s="28">
        <v>15.724058671421549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s="16" customFormat="1" ht="14.4" x14ac:dyDescent="0.25">
      <c r="A14" s="17" t="s">
        <v>27</v>
      </c>
      <c r="B14" s="28">
        <v>0</v>
      </c>
      <c r="C14" s="90">
        <v>0</v>
      </c>
      <c r="D14" s="90">
        <v>0</v>
      </c>
      <c r="E14" s="90">
        <v>0</v>
      </c>
      <c r="F14" s="90">
        <v>0</v>
      </c>
      <c r="G14" s="90">
        <v>220.1</v>
      </c>
      <c r="H14" s="90">
        <v>35</v>
      </c>
      <c r="I14" s="90">
        <v>178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45">
        <v>0</v>
      </c>
      <c r="P14" s="45">
        <v>0</v>
      </c>
      <c r="Q14" s="45">
        <v>0</v>
      </c>
      <c r="R14" s="45">
        <v>0</v>
      </c>
      <c r="S14" s="45">
        <v>0</v>
      </c>
      <c r="T14" s="45">
        <v>0</v>
      </c>
      <c r="U14" s="45">
        <v>0</v>
      </c>
      <c r="V14" s="45">
        <v>0</v>
      </c>
      <c r="W14" s="45">
        <v>0</v>
      </c>
      <c r="X14" s="45">
        <v>0</v>
      </c>
      <c r="Y14" s="45">
        <v>0</v>
      </c>
      <c r="Z14" s="45">
        <v>0</v>
      </c>
    </row>
    <row r="15" spans="1:26" ht="23.95" customHeight="1" x14ac:dyDescent="0.2">
      <c r="A15" s="19" t="s">
        <v>28</v>
      </c>
      <c r="B15" s="83">
        <f>B5+B6-B7-B8-B9-B10+B11-B12-B13+B14</f>
        <v>17826.56875533938</v>
      </c>
      <c r="C15" s="83">
        <f t="shared" ref="C15:N15" si="4">C5+C6-C7-C8-C9-C10+C11-C12-C13+C14</f>
        <v>32761.638000550902</v>
      </c>
      <c r="D15" s="83">
        <f t="shared" si="4"/>
        <v>67638.758234712994</v>
      </c>
      <c r="E15" s="83">
        <f t="shared" si="4"/>
        <v>56722.072760471252</v>
      </c>
      <c r="F15" s="83">
        <f t="shared" si="4"/>
        <v>26189.268145412214</v>
      </c>
      <c r="G15" s="83">
        <f t="shared" si="4"/>
        <v>34307.250787804711</v>
      </c>
      <c r="H15" s="83">
        <f t="shared" si="4"/>
        <v>52307.356227677221</v>
      </c>
      <c r="I15" s="83">
        <f t="shared" si="4"/>
        <v>30723.663877035931</v>
      </c>
      <c r="J15" s="83">
        <f t="shared" si="4"/>
        <v>73518.53912712913</v>
      </c>
      <c r="K15" s="83">
        <f t="shared" si="4"/>
        <v>52371.08602347273</v>
      </c>
      <c r="L15" s="83">
        <f t="shared" si="4"/>
        <v>88688.066388119929</v>
      </c>
      <c r="M15" s="83">
        <f t="shared" si="4"/>
        <v>54186.638708165483</v>
      </c>
      <c r="N15" s="83">
        <f t="shared" si="4"/>
        <v>57494.625603949971</v>
      </c>
      <c r="O15" s="60">
        <f t="shared" ref="O15:Z15" si="5">O5+O6-O7-O8-O9+O11-O12-O13+O14</f>
        <v>0</v>
      </c>
      <c r="P15" s="60">
        <f t="shared" si="5"/>
        <v>0</v>
      </c>
      <c r="Q15" s="60">
        <f t="shared" si="5"/>
        <v>0</v>
      </c>
      <c r="R15" s="60">
        <f t="shared" si="5"/>
        <v>0</v>
      </c>
      <c r="S15" s="60">
        <f t="shared" si="5"/>
        <v>0</v>
      </c>
      <c r="T15" s="60">
        <f t="shared" si="5"/>
        <v>0</v>
      </c>
      <c r="U15" s="60">
        <f t="shared" si="5"/>
        <v>0</v>
      </c>
      <c r="V15" s="60">
        <f t="shared" si="5"/>
        <v>0</v>
      </c>
      <c r="W15" s="60">
        <f t="shared" si="5"/>
        <v>0</v>
      </c>
      <c r="X15" s="60">
        <f t="shared" si="5"/>
        <v>0</v>
      </c>
      <c r="Y15" s="60">
        <f t="shared" si="5"/>
        <v>0</v>
      </c>
      <c r="Z15" s="60">
        <f t="shared" si="5"/>
        <v>0</v>
      </c>
    </row>
    <row r="16" spans="1:26" ht="23.5" customHeight="1" x14ac:dyDescent="0.2">
      <c r="A16" s="17" t="s">
        <v>47</v>
      </c>
      <c r="B16" s="82">
        <f>B15*0.18</f>
        <v>3208.7823759610883</v>
      </c>
      <c r="C16" s="82">
        <f t="shared" ref="C16:N16" si="6">C15*0.18</f>
        <v>5897.094840099162</v>
      </c>
      <c r="D16" s="82">
        <f t="shared" si="6"/>
        <v>12174.976482248338</v>
      </c>
      <c r="E16" s="82">
        <f t="shared" si="6"/>
        <v>10209.973096884825</v>
      </c>
      <c r="F16" s="82">
        <f t="shared" si="6"/>
        <v>4714.0682661741985</v>
      </c>
      <c r="G16" s="82">
        <f t="shared" si="6"/>
        <v>6175.3051418048481</v>
      </c>
      <c r="H16" s="82">
        <f t="shared" si="6"/>
        <v>9415.3241209818989</v>
      </c>
      <c r="I16" s="82">
        <f t="shared" si="6"/>
        <v>5530.2594978664674</v>
      </c>
      <c r="J16" s="82">
        <f t="shared" si="6"/>
        <v>13233.337042883242</v>
      </c>
      <c r="K16" s="82">
        <f t="shared" si="6"/>
        <v>9426.7954842250911</v>
      </c>
      <c r="L16" s="82">
        <f t="shared" si="6"/>
        <v>15963.851949861586</v>
      </c>
      <c r="M16" s="82">
        <f t="shared" si="6"/>
        <v>9753.5949674697858</v>
      </c>
      <c r="N16" s="82">
        <f t="shared" si="6"/>
        <v>10349.032608710995</v>
      </c>
      <c r="O16" s="46">
        <f t="shared" ref="O16" si="7">O15*0.18</f>
        <v>0</v>
      </c>
      <c r="P16" s="46">
        <f t="shared" ref="P16:Z16" si="8">P15*0.18</f>
        <v>0</v>
      </c>
      <c r="Q16" s="46">
        <f t="shared" si="8"/>
        <v>0</v>
      </c>
      <c r="R16" s="46">
        <f t="shared" si="8"/>
        <v>0</v>
      </c>
      <c r="S16" s="46">
        <f t="shared" si="8"/>
        <v>0</v>
      </c>
      <c r="T16" s="46">
        <f t="shared" si="8"/>
        <v>0</v>
      </c>
      <c r="U16" s="46">
        <f t="shared" si="8"/>
        <v>0</v>
      </c>
      <c r="V16" s="46">
        <f t="shared" si="8"/>
        <v>0</v>
      </c>
      <c r="W16" s="46">
        <f t="shared" si="8"/>
        <v>0</v>
      </c>
      <c r="X16" s="46">
        <f t="shared" si="8"/>
        <v>0</v>
      </c>
      <c r="Y16" s="46">
        <f t="shared" si="8"/>
        <v>0</v>
      </c>
      <c r="Z16" s="46">
        <f t="shared" si="8"/>
        <v>0</v>
      </c>
    </row>
    <row r="17" spans="1:26" ht="14.4" x14ac:dyDescent="0.2">
      <c r="A17" s="19" t="s">
        <v>29</v>
      </c>
      <c r="B17" s="83">
        <f>B15-B16</f>
        <v>14617.786379378293</v>
      </c>
      <c r="C17" s="83">
        <f t="shared" ref="C17:N17" si="9">C15-C16</f>
        <v>26864.54316045174</v>
      </c>
      <c r="D17" s="83">
        <f t="shared" si="9"/>
        <v>55463.781752464653</v>
      </c>
      <c r="E17" s="83">
        <f t="shared" si="9"/>
        <v>46512.099663586429</v>
      </c>
      <c r="F17" s="83">
        <f t="shared" si="9"/>
        <v>21475.199879238015</v>
      </c>
      <c r="G17" s="83">
        <f t="shared" si="9"/>
        <v>28131.945645999862</v>
      </c>
      <c r="H17" s="83">
        <f t="shared" si="9"/>
        <v>42892.032106695318</v>
      </c>
      <c r="I17" s="83">
        <f t="shared" si="9"/>
        <v>25193.404379169464</v>
      </c>
      <c r="J17" s="83">
        <f t="shared" si="9"/>
        <v>60285.202084245888</v>
      </c>
      <c r="K17" s="83">
        <f t="shared" si="9"/>
        <v>42944.290539247639</v>
      </c>
      <c r="L17" s="83">
        <f t="shared" si="9"/>
        <v>72724.21443825835</v>
      </c>
      <c r="M17" s="83">
        <f t="shared" si="9"/>
        <v>44433.043740695699</v>
      </c>
      <c r="N17" s="83">
        <f t="shared" si="9"/>
        <v>47145.592995238978</v>
      </c>
      <c r="O17" s="60">
        <f t="shared" ref="O17" si="10">O15-O16</f>
        <v>0</v>
      </c>
      <c r="P17" s="60">
        <f t="shared" ref="P17:Z17" si="11">P15-P16</f>
        <v>0</v>
      </c>
      <c r="Q17" s="60">
        <f t="shared" si="11"/>
        <v>0</v>
      </c>
      <c r="R17" s="60">
        <f t="shared" si="11"/>
        <v>0</v>
      </c>
      <c r="S17" s="60">
        <f t="shared" si="11"/>
        <v>0</v>
      </c>
      <c r="T17" s="60">
        <f t="shared" si="11"/>
        <v>0</v>
      </c>
      <c r="U17" s="60">
        <f t="shared" si="11"/>
        <v>0</v>
      </c>
      <c r="V17" s="60">
        <f t="shared" si="11"/>
        <v>0</v>
      </c>
      <c r="W17" s="60">
        <f t="shared" si="11"/>
        <v>0</v>
      </c>
      <c r="X17" s="60">
        <f t="shared" si="11"/>
        <v>0</v>
      </c>
      <c r="Y17" s="60">
        <f t="shared" si="11"/>
        <v>0</v>
      </c>
      <c r="Z17" s="60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90">
        <f>'Working Capital_Actual'!C2-'Working Capital_Actual'!B2</f>
        <v>8070.4383392901509</v>
      </c>
      <c r="D18" s="90">
        <f>'Working Capital_Actual'!D2-'Working Capital_Actual'!C2</f>
        <v>7583.6586152661184</v>
      </c>
      <c r="E18" s="90">
        <f>'Working Capital_Actual'!E2-'Working Capital_Actual'!D2</f>
        <v>4300.2853462407365</v>
      </c>
      <c r="F18" s="90">
        <f>'Working Capital_Actual'!F2-'Working Capital_Actual'!E2</f>
        <v>7072.5358950118534</v>
      </c>
      <c r="G18" s="90">
        <f>'Working Capital_Actual'!G2-'Working Capital_Actual'!F2</f>
        <v>10460.248705307778</v>
      </c>
      <c r="H18" s="90">
        <f>'Working Capital_Actual'!H2-'Working Capital_Actual'!G2</f>
        <v>13741.607193469012</v>
      </c>
      <c r="I18" s="90">
        <f>'Working Capital_Actual'!I2-'Working Capital_Actual'!H2</f>
        <v>-6239.5803257678635</v>
      </c>
      <c r="J18" s="90">
        <f>'Working Capital_Actual'!J2-'Working Capital_Actual'!I2</f>
        <v>13643.167702329694</v>
      </c>
      <c r="K18" s="90">
        <f>'Working Capital_Actual'!K2-'Working Capital_Actual'!J2</f>
        <v>11402.232865506347</v>
      </c>
      <c r="L18" s="90">
        <f>'Working Capital_Actual'!L2-'Working Capital_Actual'!K2</f>
        <v>15186.743949997006</v>
      </c>
      <c r="M18" s="90">
        <f>'Working Capital_Actual'!M2-'Working Capital_Actual'!L2</f>
        <v>-7526.1681907860329</v>
      </c>
      <c r="N18" s="90">
        <f>'Working Capital_Actual'!N2-'Working Capital_Actual'!M2</f>
        <v>16282.146439497243</v>
      </c>
      <c r="O18" s="45">
        <v>0</v>
      </c>
      <c r="P18" s="45">
        <f>'Working Capital_Actual'!P2-'Working Capital_Actual'!O2</f>
        <v>0</v>
      </c>
      <c r="Q18" s="45">
        <f>'Working Capital_Actual'!Q2-'Working Capital_Actual'!P2</f>
        <v>0</v>
      </c>
      <c r="R18" s="45">
        <v>0</v>
      </c>
      <c r="S18" s="45">
        <f>'Working Capital_Actual'!S2-'Working Capital_Actual'!R2</f>
        <v>0</v>
      </c>
      <c r="T18" s="45">
        <f>'Working Capital_Actual'!T2-'Working Capital_Actual'!S2</f>
        <v>0</v>
      </c>
      <c r="U18" s="45">
        <f>'Working Capital_Actual'!U2-'Working Capital_Actual'!T2</f>
        <v>0</v>
      </c>
      <c r="V18" s="45">
        <v>0</v>
      </c>
      <c r="W18" s="45">
        <f>'Working Capital_Actual'!W2-'Working Capital_Actual'!V2</f>
        <v>0</v>
      </c>
      <c r="X18" s="45">
        <f>'Working Capital_Actual'!X2-'Working Capital_Actual'!W2</f>
        <v>0</v>
      </c>
      <c r="Y18" s="45">
        <f>'Working Capital_Actual'!Y2-'Working Capital_Actual'!X2</f>
        <v>0</v>
      </c>
      <c r="Z18" s="45">
        <v>0</v>
      </c>
    </row>
    <row r="19" spans="1:26" ht="14.4" x14ac:dyDescent="0.2">
      <c r="A19" s="17" t="s">
        <v>31</v>
      </c>
      <c r="B19" s="28">
        <v>5348</v>
      </c>
      <c r="C19" s="82">
        <f>'Working Capital_Actual'!C3-'Working Capital_Actual'!B3</f>
        <v>200.06890405986633</v>
      </c>
      <c r="D19" s="82">
        <f>'Working Capital_Actual'!D3-'Working Capital_Actual'!C3</f>
        <v>-4502.7687240699888</v>
      </c>
      <c r="E19" s="82">
        <f>'Working Capital_Actual'!E3-'Working Capital_Actual'!D3</f>
        <v>2598.6765561117354</v>
      </c>
      <c r="F19" s="82">
        <f>'Working Capital_Actual'!F3-'Working Capital_Actual'!E3</f>
        <v>37408.603511555761</v>
      </c>
      <c r="G19" s="82">
        <f>'Working Capital_Actual'!G3-'Working Capital_Actual'!F3</f>
        <v>13216.556677257089</v>
      </c>
      <c r="H19" s="82">
        <f>'Working Capital_Actual'!H3-'Working Capital_Actual'!G3</f>
        <v>-29965.055492261366</v>
      </c>
      <c r="I19" s="82">
        <f>'Working Capital_Actual'!I3-'Working Capital_Actual'!H3</f>
        <v>-17754.81754829867</v>
      </c>
      <c r="J19" s="82">
        <f>'Working Capital_Actual'!J3-'Working Capital_Actual'!I3</f>
        <v>-10128.373212597449</v>
      </c>
      <c r="K19" s="82">
        <f>'Working Capital_Actual'!K3-'Working Capital_Actual'!J3</f>
        <v>42869.389839946482</v>
      </c>
      <c r="L19" s="82">
        <f>'Working Capital_Actual'!L3-'Working Capital_Actual'!K3</f>
        <v>11764.77047083911</v>
      </c>
      <c r="M19" s="82">
        <f>'Working Capital_Actual'!M3-'Working Capital_Actual'!L3</f>
        <v>-5159.2163563490321</v>
      </c>
      <c r="N19" s="82">
        <f>'Working Capital_Actual'!N3-'Working Capital_Actual'!M3</f>
        <v>463.17992836036137</v>
      </c>
      <c r="O19" s="46">
        <v>0</v>
      </c>
      <c r="P19" s="46">
        <f>'Working Capital_Actual'!P3-'Working Capital_Actual'!O3</f>
        <v>0</v>
      </c>
      <c r="Q19" s="46">
        <f>'Working Capital_Actual'!Q3-'Working Capital_Actual'!P3</f>
        <v>0</v>
      </c>
      <c r="R19" s="46">
        <f>'Working Capital_Actual'!R3-'Working Capital_Actual'!Q3</f>
        <v>0</v>
      </c>
      <c r="S19" s="46">
        <f>'Working Capital_Actual'!S3-'Working Capital_Actual'!R3</f>
        <v>0</v>
      </c>
      <c r="T19" s="46">
        <f>'Working Capital_Actual'!T3-'Working Capital_Actual'!S3</f>
        <v>0</v>
      </c>
      <c r="U19" s="46">
        <f>'Working Capital_Actual'!U3-'Working Capital_Actual'!T3</f>
        <v>0</v>
      </c>
      <c r="V19" s="46">
        <f>'Working Capital_Actual'!V3-'Working Capital_Actual'!U3</f>
        <v>0</v>
      </c>
      <c r="W19" s="46">
        <f>'Working Capital_Actual'!W3-'Working Capital_Actual'!V3</f>
        <v>0</v>
      </c>
      <c r="X19" s="46">
        <f>'Working Capital_Actual'!X3-'Working Capital_Actual'!W3</f>
        <v>0</v>
      </c>
      <c r="Y19" s="46">
        <f>'Working Capital_Actual'!Y3-'Working Capital_Actual'!X3</f>
        <v>0</v>
      </c>
      <c r="Z19" s="46">
        <f>'Working Capital_Actual'!Z3-'Working Capital_Actual'!Y3</f>
        <v>0</v>
      </c>
    </row>
    <row r="20" spans="1:26" ht="14.4" x14ac:dyDescent="0.2">
      <c r="A20" s="17" t="s">
        <v>32</v>
      </c>
      <c r="B20" s="28">
        <v>13551</v>
      </c>
      <c r="C20" s="82">
        <f>'Working Capital_Actual'!C4-'Working Capital_Actual'!B4</f>
        <v>-33797.145493997021</v>
      </c>
      <c r="D20" s="82">
        <f>'Working Capital_Actual'!D4-'Working Capital_Actual'!C4</f>
        <v>27892.258804827798</v>
      </c>
      <c r="E20" s="82">
        <f>'Working Capital_Actual'!E4-'Working Capital_Actual'!D4</f>
        <v>-42109.681208750269</v>
      </c>
      <c r="F20" s="82">
        <f>'Working Capital_Actual'!F4-'Working Capital_Actual'!E4</f>
        <v>14022.4604504909</v>
      </c>
      <c r="G20" s="82">
        <f>'Working Capital_Actual'!G4-'Working Capital_Actual'!F4</f>
        <v>13696.765550923083</v>
      </c>
      <c r="H20" s="82">
        <f>'Working Capital_Actual'!H4-'Working Capital_Actual'!G4</f>
        <v>1433.2427820076191</v>
      </c>
      <c r="I20" s="82">
        <f>'Working Capital_Actual'!I4-'Working Capital_Actual'!H4</f>
        <v>-26317.405957134812</v>
      </c>
      <c r="J20" s="82">
        <f>'Working Capital_Actual'!J4-'Working Capital_Actual'!I4</f>
        <v>-568.03022303132457</v>
      </c>
      <c r="K20" s="82">
        <f>'Working Capital_Actual'!K4-'Working Capital_Actual'!J4</f>
        <v>1628.8105505123822</v>
      </c>
      <c r="L20" s="82">
        <f>'Working Capital_Actual'!L4-'Working Capital_Actual'!K4</f>
        <v>1704.1894494876178</v>
      </c>
      <c r="M20" s="82">
        <f>'Working Capital_Actual'!M4-'Working Capital_Actual'!L4</f>
        <v>-1062</v>
      </c>
      <c r="N20" s="82">
        <f>'Working Capital_Actual'!N4-'Working Capital_Actual'!M4</f>
        <v>2605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ht="14.4" x14ac:dyDescent="0.2">
      <c r="A21" s="19" t="s">
        <v>33</v>
      </c>
      <c r="B21" s="86">
        <f>B17+B10-B18-B19+B20-3520</f>
        <v>19235.786379378293</v>
      </c>
      <c r="C21" s="86">
        <f>C17+C10-C18-C19+C20-B16</f>
        <v>-5884.8919528563902</v>
      </c>
      <c r="D21" s="86">
        <f t="shared" ref="D21:N21" si="12">D17+D10-D18-D19+D20-C16</f>
        <v>90122.055825997159</v>
      </c>
      <c r="E21" s="86">
        <f t="shared" si="12"/>
        <v>1710.4800702353496</v>
      </c>
      <c r="F21" s="86">
        <f t="shared" si="12"/>
        <v>-2205.4521737235209</v>
      </c>
      <c r="G21" s="86">
        <f t="shared" si="12"/>
        <v>29547.837548183878</v>
      </c>
      <c r="H21" s="86">
        <f t="shared" si="12"/>
        <v>71153.418045690443</v>
      </c>
      <c r="I21" s="86">
        <f t="shared" si="12"/>
        <v>30467.072175119294</v>
      </c>
      <c r="J21" s="86">
        <f t="shared" si="12"/>
        <v>67622.117873615847</v>
      </c>
      <c r="K21" s="86">
        <f t="shared" si="12"/>
        <v>-6101.8586585760495</v>
      </c>
      <c r="L21" s="86">
        <f t="shared" si="12"/>
        <v>54830.093982684761</v>
      </c>
      <c r="M21" s="86">
        <f t="shared" si="12"/>
        <v>57026.576337969171</v>
      </c>
      <c r="N21" s="86">
        <f t="shared" si="12"/>
        <v>40001.67165991159</v>
      </c>
      <c r="O21" s="86">
        <v>0</v>
      </c>
      <c r="P21" s="86">
        <f t="shared" ref="P21:Z21" si="13">-P18-P19+P17+P20</f>
        <v>0</v>
      </c>
      <c r="Q21" s="86">
        <f t="shared" si="13"/>
        <v>0</v>
      </c>
      <c r="R21" s="86">
        <f t="shared" si="13"/>
        <v>0</v>
      </c>
      <c r="S21" s="86">
        <f t="shared" si="13"/>
        <v>0</v>
      </c>
      <c r="T21" s="86">
        <f t="shared" si="13"/>
        <v>0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</row>
    <row r="22" spans="1:26" ht="14.4" x14ac:dyDescent="0.2">
      <c r="A22" s="17" t="s">
        <v>34</v>
      </c>
      <c r="B22" s="28">
        <f>CapEx_Actual!B7</f>
        <v>15525.432395094773</v>
      </c>
      <c r="C22" s="28">
        <f>CapEx_Actual!C7</f>
        <v>14152.348018783494</v>
      </c>
      <c r="D22" s="28">
        <f>CapEx_Actual!D7</f>
        <v>9963.7909407676198</v>
      </c>
      <c r="E22" s="28">
        <f>CapEx_Actual!E7</f>
        <v>8865.7922901713464</v>
      </c>
      <c r="F22" s="28">
        <f>CapEx_Actual!F7</f>
        <v>58390.49460844518</v>
      </c>
      <c r="G22" s="28">
        <f>CapEx_Actual!G7</f>
        <v>51725.234969228448</v>
      </c>
      <c r="H22" s="28">
        <f>CapEx_Actual!H7</f>
        <v>41942.729225758929</v>
      </c>
      <c r="I22" s="28">
        <f>CapEx_Actual!I7</f>
        <v>71660.090434113314</v>
      </c>
      <c r="J22" s="28">
        <f>CapEx_Actual!J7</f>
        <v>26860.911463992496</v>
      </c>
      <c r="K22" s="28">
        <f>CapEx_Actual!K7</f>
        <v>938.1516895465611</v>
      </c>
      <c r="L22" s="28">
        <f>CapEx_Actual!L7</f>
        <v>4300.9960787155433</v>
      </c>
      <c r="M22" s="28">
        <f>CapEx_Actual!M7</f>
        <v>2233.8946107662341</v>
      </c>
      <c r="N22" s="28">
        <f>CapEx_Actual!N7</f>
        <v>296.31112075582496</v>
      </c>
      <c r="O22" s="46">
        <v>0</v>
      </c>
      <c r="P22" s="46">
        <v>0</v>
      </c>
      <c r="Q22" s="46">
        <v>0</v>
      </c>
      <c r="R22" s="46">
        <v>0</v>
      </c>
      <c r="S22" s="46">
        <v>0</v>
      </c>
      <c r="T22" s="46">
        <v>0</v>
      </c>
      <c r="U22" s="46">
        <v>0</v>
      </c>
      <c r="V22" s="46">
        <v>0</v>
      </c>
      <c r="W22" s="46">
        <v>0</v>
      </c>
      <c r="X22" s="46">
        <v>0</v>
      </c>
      <c r="Y22" s="46">
        <v>0</v>
      </c>
      <c r="Z22" s="46">
        <v>0</v>
      </c>
    </row>
    <row r="23" spans="1:26" s="5" customFormat="1" ht="14.4" x14ac:dyDescent="0.2">
      <c r="A23" s="19" t="s">
        <v>35</v>
      </c>
      <c r="B23" s="83">
        <f>-(B22)</f>
        <v>-15525.432395094773</v>
      </c>
      <c r="C23" s="83">
        <f t="shared" ref="C23:H23" si="14">-C22</f>
        <v>-14152.348018783494</v>
      </c>
      <c r="D23" s="83">
        <f t="shared" si="14"/>
        <v>-9963.7909407676198</v>
      </c>
      <c r="E23" s="83">
        <f t="shared" si="14"/>
        <v>-8865.7922901713464</v>
      </c>
      <c r="F23" s="83">
        <f t="shared" si="14"/>
        <v>-58390.49460844518</v>
      </c>
      <c r="G23" s="83">
        <f t="shared" si="14"/>
        <v>-51725.234969228448</v>
      </c>
      <c r="H23" s="83">
        <f t="shared" si="14"/>
        <v>-41942.729225758929</v>
      </c>
      <c r="I23" s="83">
        <f t="shared" ref="I23:O23" si="15">-I22</f>
        <v>-71660.090434113314</v>
      </c>
      <c r="J23" s="83">
        <f t="shared" si="15"/>
        <v>-26860.911463992496</v>
      </c>
      <c r="K23" s="83">
        <f t="shared" si="15"/>
        <v>-938.1516895465611</v>
      </c>
      <c r="L23" s="83">
        <f t="shared" si="15"/>
        <v>-4300.9960787155433</v>
      </c>
      <c r="M23" s="83">
        <f t="shared" si="15"/>
        <v>-2233.8946107662341</v>
      </c>
      <c r="N23" s="83">
        <f t="shared" si="15"/>
        <v>-296.31112075582496</v>
      </c>
      <c r="O23" s="62">
        <f t="shared" si="15"/>
        <v>0</v>
      </c>
      <c r="P23" s="62">
        <f t="shared" ref="P23:Z23" si="16">-P22</f>
        <v>0</v>
      </c>
      <c r="Q23" s="62">
        <f t="shared" si="16"/>
        <v>0</v>
      </c>
      <c r="R23" s="62">
        <f t="shared" si="16"/>
        <v>0</v>
      </c>
      <c r="S23" s="62">
        <f t="shared" si="16"/>
        <v>0</v>
      </c>
      <c r="T23" s="62">
        <f t="shared" si="16"/>
        <v>0</v>
      </c>
      <c r="U23" s="62">
        <f t="shared" si="16"/>
        <v>0</v>
      </c>
      <c r="V23" s="62">
        <f t="shared" si="16"/>
        <v>0</v>
      </c>
      <c r="W23" s="62">
        <f t="shared" si="16"/>
        <v>0</v>
      </c>
      <c r="X23" s="62">
        <f t="shared" si="16"/>
        <v>0</v>
      </c>
      <c r="Y23" s="62">
        <f t="shared" si="16"/>
        <v>0</v>
      </c>
      <c r="Z23" s="62">
        <f t="shared" si="16"/>
        <v>0</v>
      </c>
    </row>
    <row r="24" spans="1:26" s="6" customFormat="1" ht="14.4" x14ac:dyDescent="0.25">
      <c r="A24" s="17" t="s">
        <v>38</v>
      </c>
      <c r="B24" s="90">
        <v>0</v>
      </c>
      <c r="C24" s="90">
        <v>0</v>
      </c>
      <c r="D24" s="90">
        <v>0</v>
      </c>
      <c r="E24" s="90">
        <v>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 s="90">
        <v>0</v>
      </c>
      <c r="V24" s="90">
        <v>0</v>
      </c>
      <c r="W24" s="90">
        <v>0</v>
      </c>
      <c r="X24" s="90">
        <v>0</v>
      </c>
      <c r="Y24" s="90">
        <v>0</v>
      </c>
      <c r="Z24" s="90">
        <v>0</v>
      </c>
    </row>
    <row r="25" spans="1:26" s="6" customFormat="1" ht="14.4" x14ac:dyDescent="0.25">
      <c r="A25" s="17" t="s">
        <v>39</v>
      </c>
      <c r="B25" s="90">
        <v>0</v>
      </c>
      <c r="C25" s="90">
        <v>0</v>
      </c>
      <c r="D25" s="90">
        <v>0</v>
      </c>
      <c r="E25" s="90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 s="90">
        <v>0</v>
      </c>
      <c r="S25" s="90">
        <v>0</v>
      </c>
      <c r="T25" s="90">
        <v>0</v>
      </c>
      <c r="U25" s="90">
        <v>0</v>
      </c>
      <c r="V25" s="90">
        <v>0</v>
      </c>
      <c r="W25" s="90">
        <v>0</v>
      </c>
      <c r="X25" s="90">
        <v>0</v>
      </c>
      <c r="Y25" s="90">
        <v>0</v>
      </c>
      <c r="Z25" s="90">
        <v>0</v>
      </c>
    </row>
    <row r="26" spans="1:26" s="6" customFormat="1" ht="14.4" x14ac:dyDescent="0.25">
      <c r="A26" s="17" t="s">
        <v>40</v>
      </c>
      <c r="B26" s="90">
        <v>0</v>
      </c>
      <c r="C26" s="90">
        <v>0</v>
      </c>
      <c r="D26" s="90">
        <v>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 s="90">
        <v>0</v>
      </c>
      <c r="S26" s="90">
        <v>0</v>
      </c>
      <c r="T26" s="90">
        <v>0</v>
      </c>
      <c r="U26" s="90">
        <v>0</v>
      </c>
      <c r="V26" s="90">
        <v>0</v>
      </c>
      <c r="W26" s="90">
        <v>0</v>
      </c>
      <c r="X26" s="90">
        <v>0</v>
      </c>
      <c r="Y26" s="90">
        <v>0</v>
      </c>
      <c r="Z26" s="90">
        <v>0</v>
      </c>
    </row>
    <row r="27" spans="1:26" s="6" customFormat="1" ht="14.4" x14ac:dyDescent="0.25">
      <c r="A27" s="17" t="s">
        <v>41</v>
      </c>
      <c r="B27" s="90">
        <v>0</v>
      </c>
      <c r="C27" s="90">
        <v>0</v>
      </c>
      <c r="D27" s="90">
        <v>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</row>
    <row r="28" spans="1:26" s="6" customFormat="1" ht="14.4" x14ac:dyDescent="0.25">
      <c r="A28" s="17" t="s">
        <v>42</v>
      </c>
      <c r="B28" s="90">
        <f>'Debt Schedule_Actual'!B3</f>
        <v>0</v>
      </c>
      <c r="C28" s="90">
        <f>'Debt Schedule_Actual'!C3</f>
        <v>12000</v>
      </c>
      <c r="D28" s="90">
        <f>'Debt Schedule_Actual'!D3</f>
        <v>0</v>
      </c>
      <c r="E28" s="90">
        <f>'Debt Schedule_Actual'!E3</f>
        <v>0</v>
      </c>
      <c r="F28" s="90">
        <f>'Debt Schedule_Actual'!F3</f>
        <v>2000</v>
      </c>
      <c r="G28" s="90">
        <f>'Debt Schedule_Actual'!G3</f>
        <v>22000</v>
      </c>
      <c r="H28" s="90">
        <f>'Debt Schedule_Actual'!H3</f>
        <v>4000</v>
      </c>
      <c r="I28" s="90">
        <f>'Debt Schedule_Actual'!I3</f>
        <v>14000</v>
      </c>
      <c r="J28" s="90">
        <f>'Debt Schedule_Actual'!J3</f>
        <v>0</v>
      </c>
      <c r="K28" s="90">
        <f>'Debt Schedule_Actual'!K3</f>
        <v>0</v>
      </c>
      <c r="L28" s="90">
        <f>'Debt Schedule_Actual'!L3</f>
        <v>0</v>
      </c>
      <c r="M28" s="90">
        <f>'Debt Schedule_Actual'!M3</f>
        <v>0</v>
      </c>
      <c r="N28" s="90">
        <f>'Debt Schedule_Actual'!N3</f>
        <v>0</v>
      </c>
      <c r="O28" s="90">
        <f>'Debt Schedule_Actual'!O3</f>
        <v>0</v>
      </c>
      <c r="P28" s="90">
        <f>'Debt Schedule_Actual'!P3</f>
        <v>0</v>
      </c>
      <c r="Q28" s="90">
        <f>'Debt Schedule_Actual'!Q3</f>
        <v>0</v>
      </c>
      <c r="R28" s="90">
        <f>'Debt Schedule_Actual'!R3</f>
        <v>0</v>
      </c>
      <c r="S28" s="90">
        <f>'Debt Schedule_Actual'!S3</f>
        <v>0</v>
      </c>
      <c r="T28" s="90">
        <f>'Debt Schedule_Actual'!T3</f>
        <v>0</v>
      </c>
      <c r="U28" s="90">
        <f>'Debt Schedule_Actual'!U3</f>
        <v>0</v>
      </c>
      <c r="V28" s="90">
        <f>'Debt Schedule_Actual'!V3</f>
        <v>0</v>
      </c>
      <c r="W28" s="90">
        <f>'Debt Schedule_Actual'!W3</f>
        <v>0</v>
      </c>
      <c r="X28" s="90">
        <f>'Debt Schedule_Actual'!X3</f>
        <v>0</v>
      </c>
      <c r="Y28" s="90">
        <f>'Debt Schedule_Actual'!Y3</f>
        <v>0</v>
      </c>
      <c r="Z28" s="90">
        <f>'Debt Schedule_Actual'!Z3</f>
        <v>0</v>
      </c>
    </row>
    <row r="29" spans="1:26" s="6" customFormat="1" ht="14.4" x14ac:dyDescent="0.25">
      <c r="A29" s="17" t="s">
        <v>43</v>
      </c>
      <c r="B29" s="90">
        <f>'Debt Schedule_Actual'!B4</f>
        <v>0</v>
      </c>
      <c r="C29" s="90">
        <f>'Debt Schedule_Actual'!C4</f>
        <v>0</v>
      </c>
      <c r="D29" s="90">
        <f>'Debt Schedule_Actual'!D4</f>
        <v>12000</v>
      </c>
      <c r="E29" s="90">
        <f>'Debt Schedule_Actual'!E4</f>
        <v>0</v>
      </c>
      <c r="F29" s="90">
        <f>'Debt Schedule_Actual'!F4</f>
        <v>0</v>
      </c>
      <c r="G29" s="90">
        <f>'Debt Schedule_Actual'!G4</f>
        <v>0</v>
      </c>
      <c r="H29" s="90">
        <f>'Debt Schedule_Actual'!H4</f>
        <v>0</v>
      </c>
      <c r="I29" s="90">
        <f>'Debt Schedule_Actual'!I4</f>
        <v>0</v>
      </c>
      <c r="J29" s="90">
        <f>'Debt Schedule_Actual'!J4</f>
        <v>0</v>
      </c>
      <c r="K29" s="90">
        <f>'Debt Schedule_Actual'!K4</f>
        <v>10000</v>
      </c>
      <c r="L29" s="90">
        <f>'Debt Schedule_Actual'!L4</f>
        <v>32000</v>
      </c>
      <c r="M29" s="90">
        <f>'Debt Schedule_Actual'!M4</f>
        <v>0</v>
      </c>
      <c r="N29" s="90">
        <f>'Debt Schedule_Actual'!N4</f>
        <v>0</v>
      </c>
      <c r="O29" s="90">
        <f>'Debt Schedule_Actual'!O4</f>
        <v>0</v>
      </c>
      <c r="P29" s="90">
        <f>'Debt Schedule_Actual'!P4</f>
        <v>0</v>
      </c>
      <c r="Q29" s="90">
        <f>'Debt Schedule_Actual'!Q4</f>
        <v>0</v>
      </c>
      <c r="R29" s="90">
        <f>'Debt Schedule_Actual'!R4</f>
        <v>0</v>
      </c>
      <c r="S29" s="90">
        <f>'Debt Schedule_Actual'!S4</f>
        <v>0</v>
      </c>
      <c r="T29" s="90">
        <f>'Debt Schedule_Actual'!T4</f>
        <v>0</v>
      </c>
      <c r="U29" s="90">
        <f>'Debt Schedule_Actual'!U4</f>
        <v>0</v>
      </c>
      <c r="V29" s="90">
        <f>'Debt Schedule_Actual'!V4</f>
        <v>0</v>
      </c>
      <c r="W29" s="90">
        <f>'Debt Schedule_Actual'!W4</f>
        <v>0</v>
      </c>
      <c r="X29" s="90">
        <f>'Debt Schedule_Actual'!X4</f>
        <v>0</v>
      </c>
      <c r="Y29" s="90">
        <f>'Debt Schedule_Actual'!Y4</f>
        <v>0</v>
      </c>
      <c r="Z29" s="90">
        <f>'Debt Schedule_Actual'!Z4</f>
        <v>0</v>
      </c>
    </row>
    <row r="30" spans="1:26" s="4" customFormat="1" ht="14.4" x14ac:dyDescent="0.25">
      <c r="A30" s="17" t="s">
        <v>2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2" customFormat="1" ht="14.4" x14ac:dyDescent="0.2">
      <c r="A31" s="19" t="s">
        <v>81</v>
      </c>
      <c r="B31" s="86">
        <f t="shared" ref="B31:O31" si="17">B24+B26-B27+B30+B28-B29</f>
        <v>0</v>
      </c>
      <c r="C31" s="86">
        <f t="shared" si="17"/>
        <v>12000</v>
      </c>
      <c r="D31" s="86">
        <f t="shared" si="17"/>
        <v>-12000</v>
      </c>
      <c r="E31" s="86">
        <f t="shared" si="17"/>
        <v>0</v>
      </c>
      <c r="F31" s="86">
        <f>F24+F26-F27+F30+F28-F29</f>
        <v>2000</v>
      </c>
      <c r="G31" s="86">
        <f t="shared" si="17"/>
        <v>22000</v>
      </c>
      <c r="H31" s="86">
        <f>H24+H26-H27+H30+H28-H29-H30</f>
        <v>4000</v>
      </c>
      <c r="I31" s="89">
        <f>I24+I25-I27+I28-I29</f>
        <v>14000</v>
      </c>
      <c r="J31" s="89">
        <f>J24+J25-J27+J28-J29</f>
        <v>0</v>
      </c>
      <c r="K31" s="86">
        <f t="shared" si="17"/>
        <v>-10000</v>
      </c>
      <c r="L31" s="86">
        <f t="shared" si="17"/>
        <v>-32000</v>
      </c>
      <c r="M31" s="86">
        <f t="shared" si="17"/>
        <v>0</v>
      </c>
      <c r="N31" s="86">
        <f>N24+N26-N27+N30+N28-N29</f>
        <v>0</v>
      </c>
      <c r="O31" s="61">
        <f t="shared" si="17"/>
        <v>0</v>
      </c>
      <c r="P31" s="61">
        <f t="shared" ref="P31:Z31" si="18">P24+P26-P27+P30+P28-P29</f>
        <v>0</v>
      </c>
      <c r="Q31" s="61">
        <f t="shared" si="18"/>
        <v>0</v>
      </c>
      <c r="R31" s="61">
        <f t="shared" si="18"/>
        <v>0</v>
      </c>
      <c r="S31" s="61">
        <f t="shared" si="18"/>
        <v>0</v>
      </c>
      <c r="T31" s="61">
        <f t="shared" si="18"/>
        <v>0</v>
      </c>
      <c r="U31" s="61">
        <f t="shared" si="18"/>
        <v>0</v>
      </c>
      <c r="V31" s="61">
        <f t="shared" si="18"/>
        <v>0</v>
      </c>
      <c r="W31" s="61">
        <f t="shared" si="18"/>
        <v>0</v>
      </c>
      <c r="X31" s="61">
        <f t="shared" si="18"/>
        <v>0</v>
      </c>
      <c r="Y31" s="61">
        <f t="shared" si="18"/>
        <v>0</v>
      </c>
      <c r="Z31" s="61">
        <f t="shared" si="18"/>
        <v>0</v>
      </c>
    </row>
    <row r="32" spans="1:26" s="2" customFormat="1" ht="14.4" x14ac:dyDescent="0.2">
      <c r="A32" s="19" t="s">
        <v>44</v>
      </c>
      <c r="B32" s="86">
        <f>B21+B23+B31</f>
        <v>3710.3539842835198</v>
      </c>
      <c r="C32" s="86">
        <f t="shared" ref="C32:F32" si="19">C21+C23+C31</f>
        <v>-8037.2399716398832</v>
      </c>
      <c r="D32" s="86">
        <f t="shared" si="19"/>
        <v>68158.264885229539</v>
      </c>
      <c r="E32" s="86">
        <f t="shared" si="19"/>
        <v>-7155.3122199359968</v>
      </c>
      <c r="F32" s="86">
        <f t="shared" si="19"/>
        <v>-58595.946782168699</v>
      </c>
      <c r="G32" s="86">
        <f>G21+G23+G31</f>
        <v>-177.39742104457036</v>
      </c>
      <c r="H32" s="86">
        <f t="shared" ref="H32:O32" si="20">H21+H23+H31</f>
        <v>33210.688819931514</v>
      </c>
      <c r="I32" s="86">
        <f t="shared" si="20"/>
        <v>-27193.018258994023</v>
      </c>
      <c r="J32" s="86">
        <f t="shared" si="20"/>
        <v>40761.206409623352</v>
      </c>
      <c r="K32" s="86">
        <f t="shared" si="20"/>
        <v>-17040.010348122611</v>
      </c>
      <c r="L32" s="86">
        <f t="shared" si="20"/>
        <v>18529.097903969217</v>
      </c>
      <c r="M32" s="86">
        <f t="shared" si="20"/>
        <v>54792.681727202937</v>
      </c>
      <c r="N32" s="86">
        <f t="shared" si="20"/>
        <v>39705.360539155765</v>
      </c>
      <c r="O32" s="61">
        <f t="shared" si="20"/>
        <v>0</v>
      </c>
      <c r="P32" s="61">
        <f t="shared" ref="P32:Z32" si="21">P21+P23+P31</f>
        <v>0</v>
      </c>
      <c r="Q32" s="61">
        <f t="shared" si="21"/>
        <v>0</v>
      </c>
      <c r="R32" s="61">
        <f t="shared" si="21"/>
        <v>0</v>
      </c>
      <c r="S32" s="61">
        <f t="shared" si="21"/>
        <v>0</v>
      </c>
      <c r="T32" s="61">
        <f t="shared" si="21"/>
        <v>0</v>
      </c>
      <c r="U32" s="61">
        <f t="shared" si="21"/>
        <v>0</v>
      </c>
      <c r="V32" s="61">
        <f t="shared" si="21"/>
        <v>0</v>
      </c>
      <c r="W32" s="61">
        <f t="shared" si="21"/>
        <v>0</v>
      </c>
      <c r="X32" s="61">
        <f t="shared" si="21"/>
        <v>0</v>
      </c>
      <c r="Y32" s="61">
        <f t="shared" si="21"/>
        <v>0</v>
      </c>
      <c r="Z32" s="61">
        <f t="shared" si="21"/>
        <v>0</v>
      </c>
    </row>
    <row r="33" spans="1:26" s="2" customFormat="1" ht="14.4" x14ac:dyDescent="0.2">
      <c r="A33" s="19" t="s">
        <v>45</v>
      </c>
      <c r="B33" s="89">
        <f t="shared" ref="B33:Z33" si="22">B32+B2</f>
        <v>9007.3539842835198</v>
      </c>
      <c r="C33" s="89">
        <f t="shared" si="22"/>
        <v>970.11401264363667</v>
      </c>
      <c r="D33" s="89">
        <f t="shared" si="22"/>
        <v>69128.378897873175</v>
      </c>
      <c r="E33" s="89">
        <f t="shared" si="22"/>
        <v>61973.066677937182</v>
      </c>
      <c r="F33" s="89">
        <f t="shared" si="22"/>
        <v>3377.1198957684828</v>
      </c>
      <c r="G33" s="89">
        <f t="shared" si="22"/>
        <v>3199.7224747239125</v>
      </c>
      <c r="H33" s="89">
        <f t="shared" si="22"/>
        <v>36410.411294655423</v>
      </c>
      <c r="I33" s="89">
        <f t="shared" si="22"/>
        <v>9217.3930356614001</v>
      </c>
      <c r="J33" s="89">
        <f t="shared" si="22"/>
        <v>49978.599445284752</v>
      </c>
      <c r="K33" s="89">
        <f t="shared" si="22"/>
        <v>32938.589097162141</v>
      </c>
      <c r="L33" s="89">
        <f t="shared" si="22"/>
        <v>51467.687001131359</v>
      </c>
      <c r="M33" s="89">
        <f t="shared" si="22"/>
        <v>106260.36872833429</v>
      </c>
      <c r="N33" s="89">
        <f t="shared" si="22"/>
        <v>145965.72926749004</v>
      </c>
      <c r="O33" s="61">
        <f t="shared" si="22"/>
        <v>0</v>
      </c>
      <c r="P33" s="61">
        <f t="shared" si="22"/>
        <v>0</v>
      </c>
      <c r="Q33" s="61">
        <f t="shared" si="22"/>
        <v>0</v>
      </c>
      <c r="R33" s="61">
        <f t="shared" si="22"/>
        <v>0</v>
      </c>
      <c r="S33" s="61">
        <f t="shared" si="22"/>
        <v>0</v>
      </c>
      <c r="T33" s="61">
        <f t="shared" si="22"/>
        <v>0</v>
      </c>
      <c r="U33" s="61">
        <f t="shared" si="22"/>
        <v>0</v>
      </c>
      <c r="V33" s="61">
        <f t="shared" si="22"/>
        <v>0</v>
      </c>
      <c r="W33" s="61">
        <f t="shared" si="22"/>
        <v>0</v>
      </c>
      <c r="X33" s="61">
        <f t="shared" si="22"/>
        <v>0</v>
      </c>
      <c r="Y33" s="61">
        <f t="shared" si="22"/>
        <v>0</v>
      </c>
      <c r="Z33" s="61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tabSelected="1" workbookViewId="0">
      <selection activeCell="B11" sqref="B11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23" width="8.88671875" style="13"/>
    <col min="224" max="224" width="66.5546875" style="13" bestFit="1" customWidth="1"/>
    <col min="225" max="225" width="11.5546875" style="13" bestFit="1" customWidth="1"/>
    <col min="226" max="226" width="8.88671875" style="13" bestFit="1" customWidth="1"/>
    <col min="227" max="227" width="10" style="13" customWidth="1"/>
    <col min="228" max="228" width="12.109375" style="13" bestFit="1" customWidth="1"/>
    <col min="229" max="229" width="13.88671875" style="13" bestFit="1" customWidth="1"/>
    <col min="230" max="230" width="13.44140625" style="13" customWidth="1"/>
    <col min="231" max="231" width="12.109375" style="13" customWidth="1"/>
    <col min="232" max="232" width="11.88671875" style="13" customWidth="1"/>
    <col min="233" max="233" width="12.44140625" style="13" customWidth="1"/>
    <col min="234" max="234" width="11.44140625" style="13" customWidth="1"/>
    <col min="235" max="235" width="13.109375" style="13" bestFit="1" customWidth="1"/>
    <col min="236" max="236" width="9.5546875" style="13" bestFit="1" customWidth="1"/>
    <col min="237" max="237" width="11.44140625" style="13" customWidth="1"/>
    <col min="238" max="238" width="9.109375" style="13" customWidth="1"/>
    <col min="239" max="240" width="10" style="13" customWidth="1"/>
    <col min="241" max="241" width="10.88671875" style="13" bestFit="1" customWidth="1"/>
    <col min="242" max="479" width="8.88671875" style="13"/>
    <col min="480" max="480" width="66.5546875" style="13" bestFit="1" customWidth="1"/>
    <col min="481" max="481" width="11.5546875" style="13" bestFit="1" customWidth="1"/>
    <col min="482" max="482" width="8.88671875" style="13" bestFit="1" customWidth="1"/>
    <col min="483" max="483" width="10" style="13" customWidth="1"/>
    <col min="484" max="484" width="12.109375" style="13" bestFit="1" customWidth="1"/>
    <col min="485" max="485" width="13.88671875" style="13" bestFit="1" customWidth="1"/>
    <col min="486" max="486" width="13.44140625" style="13" customWidth="1"/>
    <col min="487" max="487" width="12.109375" style="13" customWidth="1"/>
    <col min="488" max="488" width="11.88671875" style="13" customWidth="1"/>
    <col min="489" max="489" width="12.44140625" style="13" customWidth="1"/>
    <col min="490" max="490" width="11.44140625" style="13" customWidth="1"/>
    <col min="491" max="491" width="13.109375" style="13" bestFit="1" customWidth="1"/>
    <col min="492" max="492" width="9.5546875" style="13" bestFit="1" customWidth="1"/>
    <col min="493" max="493" width="11.44140625" style="13" customWidth="1"/>
    <col min="494" max="494" width="9.109375" style="13" customWidth="1"/>
    <col min="495" max="496" width="10" style="13" customWidth="1"/>
    <col min="497" max="497" width="10.88671875" style="13" bestFit="1" customWidth="1"/>
    <col min="498" max="735" width="8.88671875" style="13"/>
    <col min="736" max="736" width="66.5546875" style="13" bestFit="1" customWidth="1"/>
    <col min="737" max="737" width="11.5546875" style="13" bestFit="1" customWidth="1"/>
    <col min="738" max="738" width="8.88671875" style="13" bestFit="1" customWidth="1"/>
    <col min="739" max="739" width="10" style="13" customWidth="1"/>
    <col min="740" max="740" width="12.109375" style="13" bestFit="1" customWidth="1"/>
    <col min="741" max="741" width="13.88671875" style="13" bestFit="1" customWidth="1"/>
    <col min="742" max="742" width="13.44140625" style="13" customWidth="1"/>
    <col min="743" max="743" width="12.109375" style="13" customWidth="1"/>
    <col min="744" max="744" width="11.88671875" style="13" customWidth="1"/>
    <col min="745" max="745" width="12.44140625" style="13" customWidth="1"/>
    <col min="746" max="746" width="11.44140625" style="13" customWidth="1"/>
    <col min="747" max="747" width="13.109375" style="13" bestFit="1" customWidth="1"/>
    <col min="748" max="748" width="9.5546875" style="13" bestFit="1" customWidth="1"/>
    <col min="749" max="749" width="11.44140625" style="13" customWidth="1"/>
    <col min="750" max="750" width="9.109375" style="13" customWidth="1"/>
    <col min="751" max="752" width="10" style="13" customWidth="1"/>
    <col min="753" max="753" width="10.88671875" style="13" bestFit="1" customWidth="1"/>
    <col min="754" max="991" width="8.88671875" style="13"/>
    <col min="992" max="992" width="66.5546875" style="13" bestFit="1" customWidth="1"/>
    <col min="993" max="993" width="11.5546875" style="13" bestFit="1" customWidth="1"/>
    <col min="994" max="994" width="8.88671875" style="13" bestFit="1" customWidth="1"/>
    <col min="995" max="995" width="10" style="13" customWidth="1"/>
    <col min="996" max="996" width="12.109375" style="13" bestFit="1" customWidth="1"/>
    <col min="997" max="997" width="13.88671875" style="13" bestFit="1" customWidth="1"/>
    <col min="998" max="998" width="13.44140625" style="13" customWidth="1"/>
    <col min="999" max="999" width="12.109375" style="13" customWidth="1"/>
    <col min="1000" max="1000" width="11.88671875" style="13" customWidth="1"/>
    <col min="1001" max="1001" width="12.44140625" style="13" customWidth="1"/>
    <col min="1002" max="1002" width="11.44140625" style="13" customWidth="1"/>
    <col min="1003" max="1003" width="13.109375" style="13" bestFit="1" customWidth="1"/>
    <col min="1004" max="1004" width="9.5546875" style="13" bestFit="1" customWidth="1"/>
    <col min="1005" max="1005" width="11.44140625" style="13" customWidth="1"/>
    <col min="1006" max="1006" width="9.109375" style="13" customWidth="1"/>
    <col min="1007" max="1008" width="10" style="13" customWidth="1"/>
    <col min="1009" max="1009" width="10.88671875" style="13" bestFit="1" customWidth="1"/>
    <col min="1010" max="1247" width="8.88671875" style="13"/>
    <col min="1248" max="1248" width="66.5546875" style="13" bestFit="1" customWidth="1"/>
    <col min="1249" max="1249" width="11.5546875" style="13" bestFit="1" customWidth="1"/>
    <col min="1250" max="1250" width="8.88671875" style="13" bestFit="1" customWidth="1"/>
    <col min="1251" max="1251" width="10" style="13" customWidth="1"/>
    <col min="1252" max="1252" width="12.109375" style="13" bestFit="1" customWidth="1"/>
    <col min="1253" max="1253" width="13.88671875" style="13" bestFit="1" customWidth="1"/>
    <col min="1254" max="1254" width="13.44140625" style="13" customWidth="1"/>
    <col min="1255" max="1255" width="12.109375" style="13" customWidth="1"/>
    <col min="1256" max="1256" width="11.88671875" style="13" customWidth="1"/>
    <col min="1257" max="1257" width="12.44140625" style="13" customWidth="1"/>
    <col min="1258" max="1258" width="11.44140625" style="13" customWidth="1"/>
    <col min="1259" max="1259" width="13.109375" style="13" bestFit="1" customWidth="1"/>
    <col min="1260" max="1260" width="9.5546875" style="13" bestFit="1" customWidth="1"/>
    <col min="1261" max="1261" width="11.44140625" style="13" customWidth="1"/>
    <col min="1262" max="1262" width="9.109375" style="13" customWidth="1"/>
    <col min="1263" max="1264" width="10" style="13" customWidth="1"/>
    <col min="1265" max="1265" width="10.88671875" style="13" bestFit="1" customWidth="1"/>
    <col min="1266" max="1503" width="8.88671875" style="13"/>
    <col min="1504" max="1504" width="66.5546875" style="13" bestFit="1" customWidth="1"/>
    <col min="1505" max="1505" width="11.5546875" style="13" bestFit="1" customWidth="1"/>
    <col min="1506" max="1506" width="8.88671875" style="13" bestFit="1" customWidth="1"/>
    <col min="1507" max="1507" width="10" style="13" customWidth="1"/>
    <col min="1508" max="1508" width="12.109375" style="13" bestFit="1" customWidth="1"/>
    <col min="1509" max="1509" width="13.88671875" style="13" bestFit="1" customWidth="1"/>
    <col min="1510" max="1510" width="13.44140625" style="13" customWidth="1"/>
    <col min="1511" max="1511" width="12.109375" style="13" customWidth="1"/>
    <col min="1512" max="1512" width="11.88671875" style="13" customWidth="1"/>
    <col min="1513" max="1513" width="12.44140625" style="13" customWidth="1"/>
    <col min="1514" max="1514" width="11.44140625" style="13" customWidth="1"/>
    <col min="1515" max="1515" width="13.109375" style="13" bestFit="1" customWidth="1"/>
    <col min="1516" max="1516" width="9.5546875" style="13" bestFit="1" customWidth="1"/>
    <col min="1517" max="1517" width="11.44140625" style="13" customWidth="1"/>
    <col min="1518" max="1518" width="9.109375" style="13" customWidth="1"/>
    <col min="1519" max="1520" width="10" style="13" customWidth="1"/>
    <col min="1521" max="1521" width="10.88671875" style="13" bestFit="1" customWidth="1"/>
    <col min="1522" max="1759" width="8.88671875" style="13"/>
    <col min="1760" max="1760" width="66.5546875" style="13" bestFit="1" customWidth="1"/>
    <col min="1761" max="1761" width="11.5546875" style="13" bestFit="1" customWidth="1"/>
    <col min="1762" max="1762" width="8.88671875" style="13" bestFit="1" customWidth="1"/>
    <col min="1763" max="1763" width="10" style="13" customWidth="1"/>
    <col min="1764" max="1764" width="12.109375" style="13" bestFit="1" customWidth="1"/>
    <col min="1765" max="1765" width="13.88671875" style="13" bestFit="1" customWidth="1"/>
    <col min="1766" max="1766" width="13.44140625" style="13" customWidth="1"/>
    <col min="1767" max="1767" width="12.109375" style="13" customWidth="1"/>
    <col min="1768" max="1768" width="11.88671875" style="13" customWidth="1"/>
    <col min="1769" max="1769" width="12.44140625" style="13" customWidth="1"/>
    <col min="1770" max="1770" width="11.44140625" style="13" customWidth="1"/>
    <col min="1771" max="1771" width="13.109375" style="13" bestFit="1" customWidth="1"/>
    <col min="1772" max="1772" width="9.5546875" style="13" bestFit="1" customWidth="1"/>
    <col min="1773" max="1773" width="11.44140625" style="13" customWidth="1"/>
    <col min="1774" max="1774" width="9.109375" style="13" customWidth="1"/>
    <col min="1775" max="1776" width="10" style="13" customWidth="1"/>
    <col min="1777" max="1777" width="10.88671875" style="13" bestFit="1" customWidth="1"/>
    <col min="1778" max="2015" width="8.88671875" style="13"/>
    <col min="2016" max="2016" width="66.5546875" style="13" bestFit="1" customWidth="1"/>
    <col min="2017" max="2017" width="11.5546875" style="13" bestFit="1" customWidth="1"/>
    <col min="2018" max="2018" width="8.88671875" style="13" bestFit="1" customWidth="1"/>
    <col min="2019" max="2019" width="10" style="13" customWidth="1"/>
    <col min="2020" max="2020" width="12.109375" style="13" bestFit="1" customWidth="1"/>
    <col min="2021" max="2021" width="13.88671875" style="13" bestFit="1" customWidth="1"/>
    <col min="2022" max="2022" width="13.44140625" style="13" customWidth="1"/>
    <col min="2023" max="2023" width="12.109375" style="13" customWidth="1"/>
    <col min="2024" max="2024" width="11.88671875" style="13" customWidth="1"/>
    <col min="2025" max="2025" width="12.44140625" style="13" customWidth="1"/>
    <col min="2026" max="2026" width="11.44140625" style="13" customWidth="1"/>
    <col min="2027" max="2027" width="13.109375" style="13" bestFit="1" customWidth="1"/>
    <col min="2028" max="2028" width="9.5546875" style="13" bestFit="1" customWidth="1"/>
    <col min="2029" max="2029" width="11.44140625" style="13" customWidth="1"/>
    <col min="2030" max="2030" width="9.109375" style="13" customWidth="1"/>
    <col min="2031" max="2032" width="10" style="13" customWidth="1"/>
    <col min="2033" max="2033" width="10.88671875" style="13" bestFit="1" customWidth="1"/>
    <col min="2034" max="2271" width="8.88671875" style="13"/>
    <col min="2272" max="2272" width="66.5546875" style="13" bestFit="1" customWidth="1"/>
    <col min="2273" max="2273" width="11.5546875" style="13" bestFit="1" customWidth="1"/>
    <col min="2274" max="2274" width="8.88671875" style="13" bestFit="1" customWidth="1"/>
    <col min="2275" max="2275" width="10" style="13" customWidth="1"/>
    <col min="2276" max="2276" width="12.109375" style="13" bestFit="1" customWidth="1"/>
    <col min="2277" max="2277" width="13.88671875" style="13" bestFit="1" customWidth="1"/>
    <col min="2278" max="2278" width="13.44140625" style="13" customWidth="1"/>
    <col min="2279" max="2279" width="12.109375" style="13" customWidth="1"/>
    <col min="2280" max="2280" width="11.88671875" style="13" customWidth="1"/>
    <col min="2281" max="2281" width="12.44140625" style="13" customWidth="1"/>
    <col min="2282" max="2282" width="11.44140625" style="13" customWidth="1"/>
    <col min="2283" max="2283" width="13.109375" style="13" bestFit="1" customWidth="1"/>
    <col min="2284" max="2284" width="9.5546875" style="13" bestFit="1" customWidth="1"/>
    <col min="2285" max="2285" width="11.44140625" style="13" customWidth="1"/>
    <col min="2286" max="2286" width="9.109375" style="13" customWidth="1"/>
    <col min="2287" max="2288" width="10" style="13" customWidth="1"/>
    <col min="2289" max="2289" width="10.88671875" style="13" bestFit="1" customWidth="1"/>
    <col min="2290" max="2527" width="8.88671875" style="13"/>
    <col min="2528" max="2528" width="66.5546875" style="13" bestFit="1" customWidth="1"/>
    <col min="2529" max="2529" width="11.5546875" style="13" bestFit="1" customWidth="1"/>
    <col min="2530" max="2530" width="8.88671875" style="13" bestFit="1" customWidth="1"/>
    <col min="2531" max="2531" width="10" style="13" customWidth="1"/>
    <col min="2532" max="2532" width="12.109375" style="13" bestFit="1" customWidth="1"/>
    <col min="2533" max="2533" width="13.88671875" style="13" bestFit="1" customWidth="1"/>
    <col min="2534" max="2534" width="13.44140625" style="13" customWidth="1"/>
    <col min="2535" max="2535" width="12.109375" style="13" customWidth="1"/>
    <col min="2536" max="2536" width="11.88671875" style="13" customWidth="1"/>
    <col min="2537" max="2537" width="12.44140625" style="13" customWidth="1"/>
    <col min="2538" max="2538" width="11.44140625" style="13" customWidth="1"/>
    <col min="2539" max="2539" width="13.109375" style="13" bestFit="1" customWidth="1"/>
    <col min="2540" max="2540" width="9.5546875" style="13" bestFit="1" customWidth="1"/>
    <col min="2541" max="2541" width="11.44140625" style="13" customWidth="1"/>
    <col min="2542" max="2542" width="9.109375" style="13" customWidth="1"/>
    <col min="2543" max="2544" width="10" style="13" customWidth="1"/>
    <col min="2545" max="2545" width="10.88671875" style="13" bestFit="1" customWidth="1"/>
    <col min="2546" max="2783" width="8.88671875" style="13"/>
    <col min="2784" max="2784" width="66.5546875" style="13" bestFit="1" customWidth="1"/>
    <col min="2785" max="2785" width="11.5546875" style="13" bestFit="1" customWidth="1"/>
    <col min="2786" max="2786" width="8.88671875" style="13" bestFit="1" customWidth="1"/>
    <col min="2787" max="2787" width="10" style="13" customWidth="1"/>
    <col min="2788" max="2788" width="12.109375" style="13" bestFit="1" customWidth="1"/>
    <col min="2789" max="2789" width="13.88671875" style="13" bestFit="1" customWidth="1"/>
    <col min="2790" max="2790" width="13.44140625" style="13" customWidth="1"/>
    <col min="2791" max="2791" width="12.109375" style="13" customWidth="1"/>
    <col min="2792" max="2792" width="11.88671875" style="13" customWidth="1"/>
    <col min="2793" max="2793" width="12.44140625" style="13" customWidth="1"/>
    <col min="2794" max="2794" width="11.44140625" style="13" customWidth="1"/>
    <col min="2795" max="2795" width="13.109375" style="13" bestFit="1" customWidth="1"/>
    <col min="2796" max="2796" width="9.5546875" style="13" bestFit="1" customWidth="1"/>
    <col min="2797" max="2797" width="11.44140625" style="13" customWidth="1"/>
    <col min="2798" max="2798" width="9.109375" style="13" customWidth="1"/>
    <col min="2799" max="2800" width="10" style="13" customWidth="1"/>
    <col min="2801" max="2801" width="10.88671875" style="13" bestFit="1" customWidth="1"/>
    <col min="2802" max="3039" width="8.88671875" style="13"/>
    <col min="3040" max="3040" width="66.5546875" style="13" bestFit="1" customWidth="1"/>
    <col min="3041" max="3041" width="11.5546875" style="13" bestFit="1" customWidth="1"/>
    <col min="3042" max="3042" width="8.88671875" style="13" bestFit="1" customWidth="1"/>
    <col min="3043" max="3043" width="10" style="13" customWidth="1"/>
    <col min="3044" max="3044" width="12.109375" style="13" bestFit="1" customWidth="1"/>
    <col min="3045" max="3045" width="13.88671875" style="13" bestFit="1" customWidth="1"/>
    <col min="3046" max="3046" width="13.44140625" style="13" customWidth="1"/>
    <col min="3047" max="3047" width="12.109375" style="13" customWidth="1"/>
    <col min="3048" max="3048" width="11.88671875" style="13" customWidth="1"/>
    <col min="3049" max="3049" width="12.44140625" style="13" customWidth="1"/>
    <col min="3050" max="3050" width="11.44140625" style="13" customWidth="1"/>
    <col min="3051" max="3051" width="13.109375" style="13" bestFit="1" customWidth="1"/>
    <col min="3052" max="3052" width="9.5546875" style="13" bestFit="1" customWidth="1"/>
    <col min="3053" max="3053" width="11.44140625" style="13" customWidth="1"/>
    <col min="3054" max="3054" width="9.109375" style="13" customWidth="1"/>
    <col min="3055" max="3056" width="10" style="13" customWidth="1"/>
    <col min="3057" max="3057" width="10.88671875" style="13" bestFit="1" customWidth="1"/>
    <col min="3058" max="3295" width="8.88671875" style="13"/>
    <col min="3296" max="3296" width="66.5546875" style="13" bestFit="1" customWidth="1"/>
    <col min="3297" max="3297" width="11.5546875" style="13" bestFit="1" customWidth="1"/>
    <col min="3298" max="3298" width="8.88671875" style="13" bestFit="1" customWidth="1"/>
    <col min="3299" max="3299" width="10" style="13" customWidth="1"/>
    <col min="3300" max="3300" width="12.109375" style="13" bestFit="1" customWidth="1"/>
    <col min="3301" max="3301" width="13.88671875" style="13" bestFit="1" customWidth="1"/>
    <col min="3302" max="3302" width="13.44140625" style="13" customWidth="1"/>
    <col min="3303" max="3303" width="12.109375" style="13" customWidth="1"/>
    <col min="3304" max="3304" width="11.88671875" style="13" customWidth="1"/>
    <col min="3305" max="3305" width="12.44140625" style="13" customWidth="1"/>
    <col min="3306" max="3306" width="11.44140625" style="13" customWidth="1"/>
    <col min="3307" max="3307" width="13.109375" style="13" bestFit="1" customWidth="1"/>
    <col min="3308" max="3308" width="9.5546875" style="13" bestFit="1" customWidth="1"/>
    <col min="3309" max="3309" width="11.44140625" style="13" customWidth="1"/>
    <col min="3310" max="3310" width="9.109375" style="13" customWidth="1"/>
    <col min="3311" max="3312" width="10" style="13" customWidth="1"/>
    <col min="3313" max="3313" width="10.88671875" style="13" bestFit="1" customWidth="1"/>
    <col min="3314" max="3551" width="8.88671875" style="13"/>
    <col min="3552" max="3552" width="66.5546875" style="13" bestFit="1" customWidth="1"/>
    <col min="3553" max="3553" width="11.5546875" style="13" bestFit="1" customWidth="1"/>
    <col min="3554" max="3554" width="8.88671875" style="13" bestFit="1" customWidth="1"/>
    <col min="3555" max="3555" width="10" style="13" customWidth="1"/>
    <col min="3556" max="3556" width="12.109375" style="13" bestFit="1" customWidth="1"/>
    <col min="3557" max="3557" width="13.88671875" style="13" bestFit="1" customWidth="1"/>
    <col min="3558" max="3558" width="13.44140625" style="13" customWidth="1"/>
    <col min="3559" max="3559" width="12.109375" style="13" customWidth="1"/>
    <col min="3560" max="3560" width="11.88671875" style="13" customWidth="1"/>
    <col min="3561" max="3561" width="12.44140625" style="13" customWidth="1"/>
    <col min="3562" max="3562" width="11.44140625" style="13" customWidth="1"/>
    <col min="3563" max="3563" width="13.109375" style="13" bestFit="1" customWidth="1"/>
    <col min="3564" max="3564" width="9.5546875" style="13" bestFit="1" customWidth="1"/>
    <col min="3565" max="3565" width="11.44140625" style="13" customWidth="1"/>
    <col min="3566" max="3566" width="9.109375" style="13" customWidth="1"/>
    <col min="3567" max="3568" width="10" style="13" customWidth="1"/>
    <col min="3569" max="3569" width="10.88671875" style="13" bestFit="1" customWidth="1"/>
    <col min="3570" max="3807" width="8.88671875" style="13"/>
    <col min="3808" max="3808" width="66.5546875" style="13" bestFit="1" customWidth="1"/>
    <col min="3809" max="3809" width="11.5546875" style="13" bestFit="1" customWidth="1"/>
    <col min="3810" max="3810" width="8.88671875" style="13" bestFit="1" customWidth="1"/>
    <col min="3811" max="3811" width="10" style="13" customWidth="1"/>
    <col min="3812" max="3812" width="12.109375" style="13" bestFit="1" customWidth="1"/>
    <col min="3813" max="3813" width="13.88671875" style="13" bestFit="1" customWidth="1"/>
    <col min="3814" max="3814" width="13.44140625" style="13" customWidth="1"/>
    <col min="3815" max="3815" width="12.109375" style="13" customWidth="1"/>
    <col min="3816" max="3816" width="11.88671875" style="13" customWidth="1"/>
    <col min="3817" max="3817" width="12.44140625" style="13" customWidth="1"/>
    <col min="3818" max="3818" width="11.44140625" style="13" customWidth="1"/>
    <col min="3819" max="3819" width="13.109375" style="13" bestFit="1" customWidth="1"/>
    <col min="3820" max="3820" width="9.5546875" style="13" bestFit="1" customWidth="1"/>
    <col min="3821" max="3821" width="11.44140625" style="13" customWidth="1"/>
    <col min="3822" max="3822" width="9.109375" style="13" customWidth="1"/>
    <col min="3823" max="3824" width="10" style="13" customWidth="1"/>
    <col min="3825" max="3825" width="10.88671875" style="13" bestFit="1" customWidth="1"/>
    <col min="3826" max="4063" width="8.88671875" style="13"/>
    <col min="4064" max="4064" width="66.5546875" style="13" bestFit="1" customWidth="1"/>
    <col min="4065" max="4065" width="11.5546875" style="13" bestFit="1" customWidth="1"/>
    <col min="4066" max="4066" width="8.88671875" style="13" bestFit="1" customWidth="1"/>
    <col min="4067" max="4067" width="10" style="13" customWidth="1"/>
    <col min="4068" max="4068" width="12.109375" style="13" bestFit="1" customWidth="1"/>
    <col min="4069" max="4069" width="13.88671875" style="13" bestFit="1" customWidth="1"/>
    <col min="4070" max="4070" width="13.44140625" style="13" customWidth="1"/>
    <col min="4071" max="4071" width="12.109375" style="13" customWidth="1"/>
    <col min="4072" max="4072" width="11.88671875" style="13" customWidth="1"/>
    <col min="4073" max="4073" width="12.44140625" style="13" customWidth="1"/>
    <col min="4074" max="4074" width="11.44140625" style="13" customWidth="1"/>
    <col min="4075" max="4075" width="13.109375" style="13" bestFit="1" customWidth="1"/>
    <col min="4076" max="4076" width="9.5546875" style="13" bestFit="1" customWidth="1"/>
    <col min="4077" max="4077" width="11.44140625" style="13" customWidth="1"/>
    <col min="4078" max="4078" width="9.109375" style="13" customWidth="1"/>
    <col min="4079" max="4080" width="10" style="13" customWidth="1"/>
    <col min="4081" max="4081" width="10.88671875" style="13" bestFit="1" customWidth="1"/>
    <col min="4082" max="4319" width="8.88671875" style="13"/>
    <col min="4320" max="4320" width="66.5546875" style="13" bestFit="1" customWidth="1"/>
    <col min="4321" max="4321" width="11.5546875" style="13" bestFit="1" customWidth="1"/>
    <col min="4322" max="4322" width="8.88671875" style="13" bestFit="1" customWidth="1"/>
    <col min="4323" max="4323" width="10" style="13" customWidth="1"/>
    <col min="4324" max="4324" width="12.109375" style="13" bestFit="1" customWidth="1"/>
    <col min="4325" max="4325" width="13.88671875" style="13" bestFit="1" customWidth="1"/>
    <col min="4326" max="4326" width="13.44140625" style="13" customWidth="1"/>
    <col min="4327" max="4327" width="12.109375" style="13" customWidth="1"/>
    <col min="4328" max="4328" width="11.88671875" style="13" customWidth="1"/>
    <col min="4329" max="4329" width="12.44140625" style="13" customWidth="1"/>
    <col min="4330" max="4330" width="11.44140625" style="13" customWidth="1"/>
    <col min="4331" max="4331" width="13.109375" style="13" bestFit="1" customWidth="1"/>
    <col min="4332" max="4332" width="9.5546875" style="13" bestFit="1" customWidth="1"/>
    <col min="4333" max="4333" width="11.44140625" style="13" customWidth="1"/>
    <col min="4334" max="4334" width="9.109375" style="13" customWidth="1"/>
    <col min="4335" max="4336" width="10" style="13" customWidth="1"/>
    <col min="4337" max="4337" width="10.88671875" style="13" bestFit="1" customWidth="1"/>
    <col min="4338" max="4575" width="8.88671875" style="13"/>
    <col min="4576" max="4576" width="66.5546875" style="13" bestFit="1" customWidth="1"/>
    <col min="4577" max="4577" width="11.5546875" style="13" bestFit="1" customWidth="1"/>
    <col min="4578" max="4578" width="8.88671875" style="13" bestFit="1" customWidth="1"/>
    <col min="4579" max="4579" width="10" style="13" customWidth="1"/>
    <col min="4580" max="4580" width="12.109375" style="13" bestFit="1" customWidth="1"/>
    <col min="4581" max="4581" width="13.88671875" style="13" bestFit="1" customWidth="1"/>
    <col min="4582" max="4582" width="13.44140625" style="13" customWidth="1"/>
    <col min="4583" max="4583" width="12.109375" style="13" customWidth="1"/>
    <col min="4584" max="4584" width="11.88671875" style="13" customWidth="1"/>
    <col min="4585" max="4585" width="12.44140625" style="13" customWidth="1"/>
    <col min="4586" max="4586" width="11.44140625" style="13" customWidth="1"/>
    <col min="4587" max="4587" width="13.109375" style="13" bestFit="1" customWidth="1"/>
    <col min="4588" max="4588" width="9.5546875" style="13" bestFit="1" customWidth="1"/>
    <col min="4589" max="4589" width="11.44140625" style="13" customWidth="1"/>
    <col min="4590" max="4590" width="9.109375" style="13" customWidth="1"/>
    <col min="4591" max="4592" width="10" style="13" customWidth="1"/>
    <col min="4593" max="4593" width="10.88671875" style="13" bestFit="1" customWidth="1"/>
    <col min="4594" max="4831" width="8.88671875" style="13"/>
    <col min="4832" max="4832" width="66.5546875" style="13" bestFit="1" customWidth="1"/>
    <col min="4833" max="4833" width="11.5546875" style="13" bestFit="1" customWidth="1"/>
    <col min="4834" max="4834" width="8.88671875" style="13" bestFit="1" customWidth="1"/>
    <col min="4835" max="4835" width="10" style="13" customWidth="1"/>
    <col min="4836" max="4836" width="12.109375" style="13" bestFit="1" customWidth="1"/>
    <col min="4837" max="4837" width="13.88671875" style="13" bestFit="1" customWidth="1"/>
    <col min="4838" max="4838" width="13.44140625" style="13" customWidth="1"/>
    <col min="4839" max="4839" width="12.109375" style="13" customWidth="1"/>
    <col min="4840" max="4840" width="11.88671875" style="13" customWidth="1"/>
    <col min="4841" max="4841" width="12.44140625" style="13" customWidth="1"/>
    <col min="4842" max="4842" width="11.44140625" style="13" customWidth="1"/>
    <col min="4843" max="4843" width="13.109375" style="13" bestFit="1" customWidth="1"/>
    <col min="4844" max="4844" width="9.5546875" style="13" bestFit="1" customWidth="1"/>
    <col min="4845" max="4845" width="11.44140625" style="13" customWidth="1"/>
    <col min="4846" max="4846" width="9.109375" style="13" customWidth="1"/>
    <col min="4847" max="4848" width="10" style="13" customWidth="1"/>
    <col min="4849" max="4849" width="10.88671875" style="13" bestFit="1" customWidth="1"/>
    <col min="4850" max="5087" width="8.88671875" style="13"/>
    <col min="5088" max="5088" width="66.5546875" style="13" bestFit="1" customWidth="1"/>
    <col min="5089" max="5089" width="11.5546875" style="13" bestFit="1" customWidth="1"/>
    <col min="5090" max="5090" width="8.88671875" style="13" bestFit="1" customWidth="1"/>
    <col min="5091" max="5091" width="10" style="13" customWidth="1"/>
    <col min="5092" max="5092" width="12.109375" style="13" bestFit="1" customWidth="1"/>
    <col min="5093" max="5093" width="13.88671875" style="13" bestFit="1" customWidth="1"/>
    <col min="5094" max="5094" width="13.44140625" style="13" customWidth="1"/>
    <col min="5095" max="5095" width="12.109375" style="13" customWidth="1"/>
    <col min="5096" max="5096" width="11.88671875" style="13" customWidth="1"/>
    <col min="5097" max="5097" width="12.44140625" style="13" customWidth="1"/>
    <col min="5098" max="5098" width="11.44140625" style="13" customWidth="1"/>
    <col min="5099" max="5099" width="13.109375" style="13" bestFit="1" customWidth="1"/>
    <col min="5100" max="5100" width="9.5546875" style="13" bestFit="1" customWidth="1"/>
    <col min="5101" max="5101" width="11.44140625" style="13" customWidth="1"/>
    <col min="5102" max="5102" width="9.109375" style="13" customWidth="1"/>
    <col min="5103" max="5104" width="10" style="13" customWidth="1"/>
    <col min="5105" max="5105" width="10.88671875" style="13" bestFit="1" customWidth="1"/>
    <col min="5106" max="5343" width="8.88671875" style="13"/>
    <col min="5344" max="5344" width="66.5546875" style="13" bestFit="1" customWidth="1"/>
    <col min="5345" max="5345" width="11.5546875" style="13" bestFit="1" customWidth="1"/>
    <col min="5346" max="5346" width="8.88671875" style="13" bestFit="1" customWidth="1"/>
    <col min="5347" max="5347" width="10" style="13" customWidth="1"/>
    <col min="5348" max="5348" width="12.109375" style="13" bestFit="1" customWidth="1"/>
    <col min="5349" max="5349" width="13.88671875" style="13" bestFit="1" customWidth="1"/>
    <col min="5350" max="5350" width="13.44140625" style="13" customWidth="1"/>
    <col min="5351" max="5351" width="12.109375" style="13" customWidth="1"/>
    <col min="5352" max="5352" width="11.88671875" style="13" customWidth="1"/>
    <col min="5353" max="5353" width="12.44140625" style="13" customWidth="1"/>
    <col min="5354" max="5354" width="11.44140625" style="13" customWidth="1"/>
    <col min="5355" max="5355" width="13.109375" style="13" bestFit="1" customWidth="1"/>
    <col min="5356" max="5356" width="9.5546875" style="13" bestFit="1" customWidth="1"/>
    <col min="5357" max="5357" width="11.44140625" style="13" customWidth="1"/>
    <col min="5358" max="5358" width="9.109375" style="13" customWidth="1"/>
    <col min="5359" max="5360" width="10" style="13" customWidth="1"/>
    <col min="5361" max="5361" width="10.88671875" style="13" bestFit="1" customWidth="1"/>
    <col min="5362" max="5599" width="8.88671875" style="13"/>
    <col min="5600" max="5600" width="66.5546875" style="13" bestFit="1" customWidth="1"/>
    <col min="5601" max="5601" width="11.5546875" style="13" bestFit="1" customWidth="1"/>
    <col min="5602" max="5602" width="8.88671875" style="13" bestFit="1" customWidth="1"/>
    <col min="5603" max="5603" width="10" style="13" customWidth="1"/>
    <col min="5604" max="5604" width="12.109375" style="13" bestFit="1" customWidth="1"/>
    <col min="5605" max="5605" width="13.88671875" style="13" bestFit="1" customWidth="1"/>
    <col min="5606" max="5606" width="13.44140625" style="13" customWidth="1"/>
    <col min="5607" max="5607" width="12.109375" style="13" customWidth="1"/>
    <col min="5608" max="5608" width="11.88671875" style="13" customWidth="1"/>
    <col min="5609" max="5609" width="12.44140625" style="13" customWidth="1"/>
    <col min="5610" max="5610" width="11.44140625" style="13" customWidth="1"/>
    <col min="5611" max="5611" width="13.109375" style="13" bestFit="1" customWidth="1"/>
    <col min="5612" max="5612" width="9.5546875" style="13" bestFit="1" customWidth="1"/>
    <col min="5613" max="5613" width="11.44140625" style="13" customWidth="1"/>
    <col min="5614" max="5614" width="9.109375" style="13" customWidth="1"/>
    <col min="5615" max="5616" width="10" style="13" customWidth="1"/>
    <col min="5617" max="5617" width="10.88671875" style="13" bestFit="1" customWidth="1"/>
    <col min="5618" max="5855" width="8.88671875" style="13"/>
    <col min="5856" max="5856" width="66.5546875" style="13" bestFit="1" customWidth="1"/>
    <col min="5857" max="5857" width="11.5546875" style="13" bestFit="1" customWidth="1"/>
    <col min="5858" max="5858" width="8.88671875" style="13" bestFit="1" customWidth="1"/>
    <col min="5859" max="5859" width="10" style="13" customWidth="1"/>
    <col min="5860" max="5860" width="12.109375" style="13" bestFit="1" customWidth="1"/>
    <col min="5861" max="5861" width="13.88671875" style="13" bestFit="1" customWidth="1"/>
    <col min="5862" max="5862" width="13.44140625" style="13" customWidth="1"/>
    <col min="5863" max="5863" width="12.109375" style="13" customWidth="1"/>
    <col min="5864" max="5864" width="11.88671875" style="13" customWidth="1"/>
    <col min="5865" max="5865" width="12.44140625" style="13" customWidth="1"/>
    <col min="5866" max="5866" width="11.44140625" style="13" customWidth="1"/>
    <col min="5867" max="5867" width="13.109375" style="13" bestFit="1" customWidth="1"/>
    <col min="5868" max="5868" width="9.5546875" style="13" bestFit="1" customWidth="1"/>
    <col min="5869" max="5869" width="11.44140625" style="13" customWidth="1"/>
    <col min="5870" max="5870" width="9.109375" style="13" customWidth="1"/>
    <col min="5871" max="5872" width="10" style="13" customWidth="1"/>
    <col min="5873" max="5873" width="10.88671875" style="13" bestFit="1" customWidth="1"/>
    <col min="5874" max="6111" width="8.88671875" style="13"/>
    <col min="6112" max="6112" width="66.5546875" style="13" bestFit="1" customWidth="1"/>
    <col min="6113" max="6113" width="11.5546875" style="13" bestFit="1" customWidth="1"/>
    <col min="6114" max="6114" width="8.88671875" style="13" bestFit="1" customWidth="1"/>
    <col min="6115" max="6115" width="10" style="13" customWidth="1"/>
    <col min="6116" max="6116" width="12.109375" style="13" bestFit="1" customWidth="1"/>
    <col min="6117" max="6117" width="13.88671875" style="13" bestFit="1" customWidth="1"/>
    <col min="6118" max="6118" width="13.44140625" style="13" customWidth="1"/>
    <col min="6119" max="6119" width="12.109375" style="13" customWidth="1"/>
    <col min="6120" max="6120" width="11.88671875" style="13" customWidth="1"/>
    <col min="6121" max="6121" width="12.44140625" style="13" customWidth="1"/>
    <col min="6122" max="6122" width="11.44140625" style="13" customWidth="1"/>
    <col min="6123" max="6123" width="13.109375" style="13" bestFit="1" customWidth="1"/>
    <col min="6124" max="6124" width="9.5546875" style="13" bestFit="1" customWidth="1"/>
    <col min="6125" max="6125" width="11.44140625" style="13" customWidth="1"/>
    <col min="6126" max="6126" width="9.109375" style="13" customWidth="1"/>
    <col min="6127" max="6128" width="10" style="13" customWidth="1"/>
    <col min="6129" max="6129" width="10.88671875" style="13" bestFit="1" customWidth="1"/>
    <col min="6130" max="6367" width="8.88671875" style="13"/>
    <col min="6368" max="6368" width="66.5546875" style="13" bestFit="1" customWidth="1"/>
    <col min="6369" max="6369" width="11.5546875" style="13" bestFit="1" customWidth="1"/>
    <col min="6370" max="6370" width="8.88671875" style="13" bestFit="1" customWidth="1"/>
    <col min="6371" max="6371" width="10" style="13" customWidth="1"/>
    <col min="6372" max="6372" width="12.109375" style="13" bestFit="1" customWidth="1"/>
    <col min="6373" max="6373" width="13.88671875" style="13" bestFit="1" customWidth="1"/>
    <col min="6374" max="6374" width="13.44140625" style="13" customWidth="1"/>
    <col min="6375" max="6375" width="12.109375" style="13" customWidth="1"/>
    <col min="6376" max="6376" width="11.88671875" style="13" customWidth="1"/>
    <col min="6377" max="6377" width="12.44140625" style="13" customWidth="1"/>
    <col min="6378" max="6378" width="11.44140625" style="13" customWidth="1"/>
    <col min="6379" max="6379" width="13.109375" style="13" bestFit="1" customWidth="1"/>
    <col min="6380" max="6380" width="9.5546875" style="13" bestFit="1" customWidth="1"/>
    <col min="6381" max="6381" width="11.44140625" style="13" customWidth="1"/>
    <col min="6382" max="6382" width="9.109375" style="13" customWidth="1"/>
    <col min="6383" max="6384" width="10" style="13" customWidth="1"/>
    <col min="6385" max="6385" width="10.88671875" style="13" bestFit="1" customWidth="1"/>
    <col min="6386" max="6623" width="8.88671875" style="13"/>
    <col min="6624" max="6624" width="66.5546875" style="13" bestFit="1" customWidth="1"/>
    <col min="6625" max="6625" width="11.5546875" style="13" bestFit="1" customWidth="1"/>
    <col min="6626" max="6626" width="8.88671875" style="13" bestFit="1" customWidth="1"/>
    <col min="6627" max="6627" width="10" style="13" customWidth="1"/>
    <col min="6628" max="6628" width="12.109375" style="13" bestFit="1" customWidth="1"/>
    <col min="6629" max="6629" width="13.88671875" style="13" bestFit="1" customWidth="1"/>
    <col min="6630" max="6630" width="13.44140625" style="13" customWidth="1"/>
    <col min="6631" max="6631" width="12.109375" style="13" customWidth="1"/>
    <col min="6632" max="6632" width="11.88671875" style="13" customWidth="1"/>
    <col min="6633" max="6633" width="12.44140625" style="13" customWidth="1"/>
    <col min="6634" max="6634" width="11.44140625" style="13" customWidth="1"/>
    <col min="6635" max="6635" width="13.109375" style="13" bestFit="1" customWidth="1"/>
    <col min="6636" max="6636" width="9.5546875" style="13" bestFit="1" customWidth="1"/>
    <col min="6637" max="6637" width="11.44140625" style="13" customWidth="1"/>
    <col min="6638" max="6638" width="9.109375" style="13" customWidth="1"/>
    <col min="6639" max="6640" width="10" style="13" customWidth="1"/>
    <col min="6641" max="6641" width="10.88671875" style="13" bestFit="1" customWidth="1"/>
    <col min="6642" max="6879" width="8.88671875" style="13"/>
    <col min="6880" max="6880" width="66.5546875" style="13" bestFit="1" customWidth="1"/>
    <col min="6881" max="6881" width="11.5546875" style="13" bestFit="1" customWidth="1"/>
    <col min="6882" max="6882" width="8.88671875" style="13" bestFit="1" customWidth="1"/>
    <col min="6883" max="6883" width="10" style="13" customWidth="1"/>
    <col min="6884" max="6884" width="12.109375" style="13" bestFit="1" customWidth="1"/>
    <col min="6885" max="6885" width="13.88671875" style="13" bestFit="1" customWidth="1"/>
    <col min="6886" max="6886" width="13.44140625" style="13" customWidth="1"/>
    <col min="6887" max="6887" width="12.109375" style="13" customWidth="1"/>
    <col min="6888" max="6888" width="11.88671875" style="13" customWidth="1"/>
    <col min="6889" max="6889" width="12.44140625" style="13" customWidth="1"/>
    <col min="6890" max="6890" width="11.44140625" style="13" customWidth="1"/>
    <col min="6891" max="6891" width="13.109375" style="13" bestFit="1" customWidth="1"/>
    <col min="6892" max="6892" width="9.5546875" style="13" bestFit="1" customWidth="1"/>
    <col min="6893" max="6893" width="11.44140625" style="13" customWidth="1"/>
    <col min="6894" max="6894" width="9.109375" style="13" customWidth="1"/>
    <col min="6895" max="6896" width="10" style="13" customWidth="1"/>
    <col min="6897" max="6897" width="10.88671875" style="13" bestFit="1" customWidth="1"/>
    <col min="6898" max="7135" width="8.88671875" style="13"/>
    <col min="7136" max="7136" width="66.5546875" style="13" bestFit="1" customWidth="1"/>
    <col min="7137" max="7137" width="11.5546875" style="13" bestFit="1" customWidth="1"/>
    <col min="7138" max="7138" width="8.88671875" style="13" bestFit="1" customWidth="1"/>
    <col min="7139" max="7139" width="10" style="13" customWidth="1"/>
    <col min="7140" max="7140" width="12.109375" style="13" bestFit="1" customWidth="1"/>
    <col min="7141" max="7141" width="13.88671875" style="13" bestFit="1" customWidth="1"/>
    <col min="7142" max="7142" width="13.44140625" style="13" customWidth="1"/>
    <col min="7143" max="7143" width="12.109375" style="13" customWidth="1"/>
    <col min="7144" max="7144" width="11.88671875" style="13" customWidth="1"/>
    <col min="7145" max="7145" width="12.44140625" style="13" customWidth="1"/>
    <col min="7146" max="7146" width="11.44140625" style="13" customWidth="1"/>
    <col min="7147" max="7147" width="13.109375" style="13" bestFit="1" customWidth="1"/>
    <col min="7148" max="7148" width="9.5546875" style="13" bestFit="1" customWidth="1"/>
    <col min="7149" max="7149" width="11.44140625" style="13" customWidth="1"/>
    <col min="7150" max="7150" width="9.109375" style="13" customWidth="1"/>
    <col min="7151" max="7152" width="10" style="13" customWidth="1"/>
    <col min="7153" max="7153" width="10.88671875" style="13" bestFit="1" customWidth="1"/>
    <col min="7154" max="7391" width="8.88671875" style="13"/>
    <col min="7392" max="7392" width="66.5546875" style="13" bestFit="1" customWidth="1"/>
    <col min="7393" max="7393" width="11.5546875" style="13" bestFit="1" customWidth="1"/>
    <col min="7394" max="7394" width="8.88671875" style="13" bestFit="1" customWidth="1"/>
    <col min="7395" max="7395" width="10" style="13" customWidth="1"/>
    <col min="7396" max="7396" width="12.109375" style="13" bestFit="1" customWidth="1"/>
    <col min="7397" max="7397" width="13.88671875" style="13" bestFit="1" customWidth="1"/>
    <col min="7398" max="7398" width="13.44140625" style="13" customWidth="1"/>
    <col min="7399" max="7399" width="12.109375" style="13" customWidth="1"/>
    <col min="7400" max="7400" width="11.88671875" style="13" customWidth="1"/>
    <col min="7401" max="7401" width="12.44140625" style="13" customWidth="1"/>
    <col min="7402" max="7402" width="11.44140625" style="13" customWidth="1"/>
    <col min="7403" max="7403" width="13.109375" style="13" bestFit="1" customWidth="1"/>
    <col min="7404" max="7404" width="9.5546875" style="13" bestFit="1" customWidth="1"/>
    <col min="7405" max="7405" width="11.44140625" style="13" customWidth="1"/>
    <col min="7406" max="7406" width="9.109375" style="13" customWidth="1"/>
    <col min="7407" max="7408" width="10" style="13" customWidth="1"/>
    <col min="7409" max="7409" width="10.88671875" style="13" bestFit="1" customWidth="1"/>
    <col min="7410" max="7647" width="8.88671875" style="13"/>
    <col min="7648" max="7648" width="66.5546875" style="13" bestFit="1" customWidth="1"/>
    <col min="7649" max="7649" width="11.5546875" style="13" bestFit="1" customWidth="1"/>
    <col min="7650" max="7650" width="8.88671875" style="13" bestFit="1" customWidth="1"/>
    <col min="7651" max="7651" width="10" style="13" customWidth="1"/>
    <col min="7652" max="7652" width="12.109375" style="13" bestFit="1" customWidth="1"/>
    <col min="7653" max="7653" width="13.88671875" style="13" bestFit="1" customWidth="1"/>
    <col min="7654" max="7654" width="13.44140625" style="13" customWidth="1"/>
    <col min="7655" max="7655" width="12.109375" style="13" customWidth="1"/>
    <col min="7656" max="7656" width="11.88671875" style="13" customWidth="1"/>
    <col min="7657" max="7657" width="12.44140625" style="13" customWidth="1"/>
    <col min="7658" max="7658" width="11.44140625" style="13" customWidth="1"/>
    <col min="7659" max="7659" width="13.109375" style="13" bestFit="1" customWidth="1"/>
    <col min="7660" max="7660" width="9.5546875" style="13" bestFit="1" customWidth="1"/>
    <col min="7661" max="7661" width="11.44140625" style="13" customWidth="1"/>
    <col min="7662" max="7662" width="9.109375" style="13" customWidth="1"/>
    <col min="7663" max="7664" width="10" style="13" customWidth="1"/>
    <col min="7665" max="7665" width="10.88671875" style="13" bestFit="1" customWidth="1"/>
    <col min="7666" max="7903" width="8.88671875" style="13"/>
    <col min="7904" max="7904" width="66.5546875" style="13" bestFit="1" customWidth="1"/>
    <col min="7905" max="7905" width="11.5546875" style="13" bestFit="1" customWidth="1"/>
    <col min="7906" max="7906" width="8.88671875" style="13" bestFit="1" customWidth="1"/>
    <col min="7907" max="7907" width="10" style="13" customWidth="1"/>
    <col min="7908" max="7908" width="12.109375" style="13" bestFit="1" customWidth="1"/>
    <col min="7909" max="7909" width="13.88671875" style="13" bestFit="1" customWidth="1"/>
    <col min="7910" max="7910" width="13.44140625" style="13" customWidth="1"/>
    <col min="7911" max="7911" width="12.109375" style="13" customWidth="1"/>
    <col min="7912" max="7912" width="11.88671875" style="13" customWidth="1"/>
    <col min="7913" max="7913" width="12.44140625" style="13" customWidth="1"/>
    <col min="7914" max="7914" width="11.44140625" style="13" customWidth="1"/>
    <col min="7915" max="7915" width="13.109375" style="13" bestFit="1" customWidth="1"/>
    <col min="7916" max="7916" width="9.5546875" style="13" bestFit="1" customWidth="1"/>
    <col min="7917" max="7917" width="11.44140625" style="13" customWidth="1"/>
    <col min="7918" max="7918" width="9.109375" style="13" customWidth="1"/>
    <col min="7919" max="7920" width="10" style="13" customWidth="1"/>
    <col min="7921" max="7921" width="10.88671875" style="13" bestFit="1" customWidth="1"/>
    <col min="7922" max="8159" width="8.88671875" style="13"/>
    <col min="8160" max="8160" width="66.5546875" style="13" bestFit="1" customWidth="1"/>
    <col min="8161" max="8161" width="11.5546875" style="13" bestFit="1" customWidth="1"/>
    <col min="8162" max="8162" width="8.88671875" style="13" bestFit="1" customWidth="1"/>
    <col min="8163" max="8163" width="10" style="13" customWidth="1"/>
    <col min="8164" max="8164" width="12.109375" style="13" bestFit="1" customWidth="1"/>
    <col min="8165" max="8165" width="13.88671875" style="13" bestFit="1" customWidth="1"/>
    <col min="8166" max="8166" width="13.44140625" style="13" customWidth="1"/>
    <col min="8167" max="8167" width="12.109375" style="13" customWidth="1"/>
    <col min="8168" max="8168" width="11.88671875" style="13" customWidth="1"/>
    <col min="8169" max="8169" width="12.44140625" style="13" customWidth="1"/>
    <col min="8170" max="8170" width="11.44140625" style="13" customWidth="1"/>
    <col min="8171" max="8171" width="13.109375" style="13" bestFit="1" customWidth="1"/>
    <col min="8172" max="8172" width="9.5546875" style="13" bestFit="1" customWidth="1"/>
    <col min="8173" max="8173" width="11.44140625" style="13" customWidth="1"/>
    <col min="8174" max="8174" width="9.109375" style="13" customWidth="1"/>
    <col min="8175" max="8176" width="10" style="13" customWidth="1"/>
    <col min="8177" max="8177" width="10.88671875" style="13" bestFit="1" customWidth="1"/>
    <col min="8178" max="8415" width="8.88671875" style="13"/>
    <col min="8416" max="8416" width="66.5546875" style="13" bestFit="1" customWidth="1"/>
    <col min="8417" max="8417" width="11.5546875" style="13" bestFit="1" customWidth="1"/>
    <col min="8418" max="8418" width="8.88671875" style="13" bestFit="1" customWidth="1"/>
    <col min="8419" max="8419" width="10" style="13" customWidth="1"/>
    <col min="8420" max="8420" width="12.109375" style="13" bestFit="1" customWidth="1"/>
    <col min="8421" max="8421" width="13.88671875" style="13" bestFit="1" customWidth="1"/>
    <col min="8422" max="8422" width="13.44140625" style="13" customWidth="1"/>
    <col min="8423" max="8423" width="12.109375" style="13" customWidth="1"/>
    <col min="8424" max="8424" width="11.88671875" style="13" customWidth="1"/>
    <col min="8425" max="8425" width="12.44140625" style="13" customWidth="1"/>
    <col min="8426" max="8426" width="11.44140625" style="13" customWidth="1"/>
    <col min="8427" max="8427" width="13.109375" style="13" bestFit="1" customWidth="1"/>
    <col min="8428" max="8428" width="9.5546875" style="13" bestFit="1" customWidth="1"/>
    <col min="8429" max="8429" width="11.44140625" style="13" customWidth="1"/>
    <col min="8430" max="8430" width="9.109375" style="13" customWidth="1"/>
    <col min="8431" max="8432" width="10" style="13" customWidth="1"/>
    <col min="8433" max="8433" width="10.88671875" style="13" bestFit="1" customWidth="1"/>
    <col min="8434" max="8671" width="8.88671875" style="13"/>
    <col min="8672" max="8672" width="66.5546875" style="13" bestFit="1" customWidth="1"/>
    <col min="8673" max="8673" width="11.5546875" style="13" bestFit="1" customWidth="1"/>
    <col min="8674" max="8674" width="8.88671875" style="13" bestFit="1" customWidth="1"/>
    <col min="8675" max="8675" width="10" style="13" customWidth="1"/>
    <col min="8676" max="8676" width="12.109375" style="13" bestFit="1" customWidth="1"/>
    <col min="8677" max="8677" width="13.88671875" style="13" bestFit="1" customWidth="1"/>
    <col min="8678" max="8678" width="13.44140625" style="13" customWidth="1"/>
    <col min="8679" max="8679" width="12.109375" style="13" customWidth="1"/>
    <col min="8680" max="8680" width="11.88671875" style="13" customWidth="1"/>
    <col min="8681" max="8681" width="12.44140625" style="13" customWidth="1"/>
    <col min="8682" max="8682" width="11.44140625" style="13" customWidth="1"/>
    <col min="8683" max="8683" width="13.109375" style="13" bestFit="1" customWidth="1"/>
    <col min="8684" max="8684" width="9.5546875" style="13" bestFit="1" customWidth="1"/>
    <col min="8685" max="8685" width="11.44140625" style="13" customWidth="1"/>
    <col min="8686" max="8686" width="9.109375" style="13" customWidth="1"/>
    <col min="8687" max="8688" width="10" style="13" customWidth="1"/>
    <col min="8689" max="8689" width="10.88671875" style="13" bestFit="1" customWidth="1"/>
    <col min="8690" max="8927" width="8.88671875" style="13"/>
    <col min="8928" max="8928" width="66.5546875" style="13" bestFit="1" customWidth="1"/>
    <col min="8929" max="8929" width="11.5546875" style="13" bestFit="1" customWidth="1"/>
    <col min="8930" max="8930" width="8.88671875" style="13" bestFit="1" customWidth="1"/>
    <col min="8931" max="8931" width="10" style="13" customWidth="1"/>
    <col min="8932" max="8932" width="12.109375" style="13" bestFit="1" customWidth="1"/>
    <col min="8933" max="8933" width="13.88671875" style="13" bestFit="1" customWidth="1"/>
    <col min="8934" max="8934" width="13.44140625" style="13" customWidth="1"/>
    <col min="8935" max="8935" width="12.109375" style="13" customWidth="1"/>
    <col min="8936" max="8936" width="11.88671875" style="13" customWidth="1"/>
    <col min="8937" max="8937" width="12.44140625" style="13" customWidth="1"/>
    <col min="8938" max="8938" width="11.44140625" style="13" customWidth="1"/>
    <col min="8939" max="8939" width="13.109375" style="13" bestFit="1" customWidth="1"/>
    <col min="8940" max="8940" width="9.5546875" style="13" bestFit="1" customWidth="1"/>
    <col min="8941" max="8941" width="11.44140625" style="13" customWidth="1"/>
    <col min="8942" max="8942" width="9.109375" style="13" customWidth="1"/>
    <col min="8943" max="8944" width="10" style="13" customWidth="1"/>
    <col min="8945" max="8945" width="10.88671875" style="13" bestFit="1" customWidth="1"/>
    <col min="8946" max="9183" width="8.88671875" style="13"/>
    <col min="9184" max="9184" width="66.5546875" style="13" bestFit="1" customWidth="1"/>
    <col min="9185" max="9185" width="11.5546875" style="13" bestFit="1" customWidth="1"/>
    <col min="9186" max="9186" width="8.88671875" style="13" bestFit="1" customWidth="1"/>
    <col min="9187" max="9187" width="10" style="13" customWidth="1"/>
    <col min="9188" max="9188" width="12.109375" style="13" bestFit="1" customWidth="1"/>
    <col min="9189" max="9189" width="13.88671875" style="13" bestFit="1" customWidth="1"/>
    <col min="9190" max="9190" width="13.44140625" style="13" customWidth="1"/>
    <col min="9191" max="9191" width="12.109375" style="13" customWidth="1"/>
    <col min="9192" max="9192" width="11.88671875" style="13" customWidth="1"/>
    <col min="9193" max="9193" width="12.44140625" style="13" customWidth="1"/>
    <col min="9194" max="9194" width="11.44140625" style="13" customWidth="1"/>
    <col min="9195" max="9195" width="13.109375" style="13" bestFit="1" customWidth="1"/>
    <col min="9196" max="9196" width="9.5546875" style="13" bestFit="1" customWidth="1"/>
    <col min="9197" max="9197" width="11.44140625" style="13" customWidth="1"/>
    <col min="9198" max="9198" width="9.109375" style="13" customWidth="1"/>
    <col min="9199" max="9200" width="10" style="13" customWidth="1"/>
    <col min="9201" max="9201" width="10.88671875" style="13" bestFit="1" customWidth="1"/>
    <col min="9202" max="9439" width="8.88671875" style="13"/>
    <col min="9440" max="9440" width="66.5546875" style="13" bestFit="1" customWidth="1"/>
    <col min="9441" max="9441" width="11.5546875" style="13" bestFit="1" customWidth="1"/>
    <col min="9442" max="9442" width="8.88671875" style="13" bestFit="1" customWidth="1"/>
    <col min="9443" max="9443" width="10" style="13" customWidth="1"/>
    <col min="9444" max="9444" width="12.109375" style="13" bestFit="1" customWidth="1"/>
    <col min="9445" max="9445" width="13.88671875" style="13" bestFit="1" customWidth="1"/>
    <col min="9446" max="9446" width="13.44140625" style="13" customWidth="1"/>
    <col min="9447" max="9447" width="12.109375" style="13" customWidth="1"/>
    <col min="9448" max="9448" width="11.88671875" style="13" customWidth="1"/>
    <col min="9449" max="9449" width="12.44140625" style="13" customWidth="1"/>
    <col min="9450" max="9450" width="11.44140625" style="13" customWidth="1"/>
    <col min="9451" max="9451" width="13.109375" style="13" bestFit="1" customWidth="1"/>
    <col min="9452" max="9452" width="9.5546875" style="13" bestFit="1" customWidth="1"/>
    <col min="9453" max="9453" width="11.44140625" style="13" customWidth="1"/>
    <col min="9454" max="9454" width="9.109375" style="13" customWidth="1"/>
    <col min="9455" max="9456" width="10" style="13" customWidth="1"/>
    <col min="9457" max="9457" width="10.88671875" style="13" bestFit="1" customWidth="1"/>
    <col min="9458" max="9695" width="8.88671875" style="13"/>
    <col min="9696" max="9696" width="66.5546875" style="13" bestFit="1" customWidth="1"/>
    <col min="9697" max="9697" width="11.5546875" style="13" bestFit="1" customWidth="1"/>
    <col min="9698" max="9698" width="8.88671875" style="13" bestFit="1" customWidth="1"/>
    <col min="9699" max="9699" width="10" style="13" customWidth="1"/>
    <col min="9700" max="9700" width="12.109375" style="13" bestFit="1" customWidth="1"/>
    <col min="9701" max="9701" width="13.88671875" style="13" bestFit="1" customWidth="1"/>
    <col min="9702" max="9702" width="13.44140625" style="13" customWidth="1"/>
    <col min="9703" max="9703" width="12.109375" style="13" customWidth="1"/>
    <col min="9704" max="9704" width="11.88671875" style="13" customWidth="1"/>
    <col min="9705" max="9705" width="12.44140625" style="13" customWidth="1"/>
    <col min="9706" max="9706" width="11.44140625" style="13" customWidth="1"/>
    <col min="9707" max="9707" width="13.109375" style="13" bestFit="1" customWidth="1"/>
    <col min="9708" max="9708" width="9.5546875" style="13" bestFit="1" customWidth="1"/>
    <col min="9709" max="9709" width="11.44140625" style="13" customWidth="1"/>
    <col min="9710" max="9710" width="9.109375" style="13" customWidth="1"/>
    <col min="9711" max="9712" width="10" style="13" customWidth="1"/>
    <col min="9713" max="9713" width="10.88671875" style="13" bestFit="1" customWidth="1"/>
    <col min="9714" max="9951" width="8.88671875" style="13"/>
    <col min="9952" max="9952" width="66.5546875" style="13" bestFit="1" customWidth="1"/>
    <col min="9953" max="9953" width="11.5546875" style="13" bestFit="1" customWidth="1"/>
    <col min="9954" max="9954" width="8.88671875" style="13" bestFit="1" customWidth="1"/>
    <col min="9955" max="9955" width="10" style="13" customWidth="1"/>
    <col min="9956" max="9956" width="12.109375" style="13" bestFit="1" customWidth="1"/>
    <col min="9957" max="9957" width="13.88671875" style="13" bestFit="1" customWidth="1"/>
    <col min="9958" max="9958" width="13.44140625" style="13" customWidth="1"/>
    <col min="9959" max="9959" width="12.109375" style="13" customWidth="1"/>
    <col min="9960" max="9960" width="11.88671875" style="13" customWidth="1"/>
    <col min="9961" max="9961" width="12.44140625" style="13" customWidth="1"/>
    <col min="9962" max="9962" width="11.44140625" style="13" customWidth="1"/>
    <col min="9963" max="9963" width="13.109375" style="13" bestFit="1" customWidth="1"/>
    <col min="9964" max="9964" width="9.5546875" style="13" bestFit="1" customWidth="1"/>
    <col min="9965" max="9965" width="11.44140625" style="13" customWidth="1"/>
    <col min="9966" max="9966" width="9.109375" style="13" customWidth="1"/>
    <col min="9967" max="9968" width="10" style="13" customWidth="1"/>
    <col min="9969" max="9969" width="10.88671875" style="13" bestFit="1" customWidth="1"/>
    <col min="9970" max="10207" width="8.88671875" style="13"/>
    <col min="10208" max="10208" width="66.5546875" style="13" bestFit="1" customWidth="1"/>
    <col min="10209" max="10209" width="11.5546875" style="13" bestFit="1" customWidth="1"/>
    <col min="10210" max="10210" width="8.88671875" style="13" bestFit="1" customWidth="1"/>
    <col min="10211" max="10211" width="10" style="13" customWidth="1"/>
    <col min="10212" max="10212" width="12.109375" style="13" bestFit="1" customWidth="1"/>
    <col min="10213" max="10213" width="13.88671875" style="13" bestFit="1" customWidth="1"/>
    <col min="10214" max="10214" width="13.44140625" style="13" customWidth="1"/>
    <col min="10215" max="10215" width="12.109375" style="13" customWidth="1"/>
    <col min="10216" max="10216" width="11.88671875" style="13" customWidth="1"/>
    <col min="10217" max="10217" width="12.44140625" style="13" customWidth="1"/>
    <col min="10218" max="10218" width="11.44140625" style="13" customWidth="1"/>
    <col min="10219" max="10219" width="13.109375" style="13" bestFit="1" customWidth="1"/>
    <col min="10220" max="10220" width="9.5546875" style="13" bestFit="1" customWidth="1"/>
    <col min="10221" max="10221" width="11.44140625" style="13" customWidth="1"/>
    <col min="10222" max="10222" width="9.109375" style="13" customWidth="1"/>
    <col min="10223" max="10224" width="10" style="13" customWidth="1"/>
    <col min="10225" max="10225" width="10.88671875" style="13" bestFit="1" customWidth="1"/>
    <col min="10226" max="10463" width="8.88671875" style="13"/>
    <col min="10464" max="10464" width="66.5546875" style="13" bestFit="1" customWidth="1"/>
    <col min="10465" max="10465" width="11.5546875" style="13" bestFit="1" customWidth="1"/>
    <col min="10466" max="10466" width="8.88671875" style="13" bestFit="1" customWidth="1"/>
    <col min="10467" max="10467" width="10" style="13" customWidth="1"/>
    <col min="10468" max="10468" width="12.109375" style="13" bestFit="1" customWidth="1"/>
    <col min="10469" max="10469" width="13.88671875" style="13" bestFit="1" customWidth="1"/>
    <col min="10470" max="10470" width="13.44140625" style="13" customWidth="1"/>
    <col min="10471" max="10471" width="12.109375" style="13" customWidth="1"/>
    <col min="10472" max="10472" width="11.88671875" style="13" customWidth="1"/>
    <col min="10473" max="10473" width="12.44140625" style="13" customWidth="1"/>
    <col min="10474" max="10474" width="11.44140625" style="13" customWidth="1"/>
    <col min="10475" max="10475" width="13.109375" style="13" bestFit="1" customWidth="1"/>
    <col min="10476" max="10476" width="9.5546875" style="13" bestFit="1" customWidth="1"/>
    <col min="10477" max="10477" width="11.44140625" style="13" customWidth="1"/>
    <col min="10478" max="10478" width="9.109375" style="13" customWidth="1"/>
    <col min="10479" max="10480" width="10" style="13" customWidth="1"/>
    <col min="10481" max="10481" width="10.88671875" style="13" bestFit="1" customWidth="1"/>
    <col min="10482" max="10719" width="8.88671875" style="13"/>
    <col min="10720" max="10720" width="66.5546875" style="13" bestFit="1" customWidth="1"/>
    <col min="10721" max="10721" width="11.5546875" style="13" bestFit="1" customWidth="1"/>
    <col min="10722" max="10722" width="8.88671875" style="13" bestFit="1" customWidth="1"/>
    <col min="10723" max="10723" width="10" style="13" customWidth="1"/>
    <col min="10724" max="10724" width="12.109375" style="13" bestFit="1" customWidth="1"/>
    <col min="10725" max="10725" width="13.88671875" style="13" bestFit="1" customWidth="1"/>
    <col min="10726" max="10726" width="13.44140625" style="13" customWidth="1"/>
    <col min="10727" max="10727" width="12.109375" style="13" customWidth="1"/>
    <col min="10728" max="10728" width="11.88671875" style="13" customWidth="1"/>
    <col min="10729" max="10729" width="12.44140625" style="13" customWidth="1"/>
    <col min="10730" max="10730" width="11.44140625" style="13" customWidth="1"/>
    <col min="10731" max="10731" width="13.109375" style="13" bestFit="1" customWidth="1"/>
    <col min="10732" max="10732" width="9.5546875" style="13" bestFit="1" customWidth="1"/>
    <col min="10733" max="10733" width="11.44140625" style="13" customWidth="1"/>
    <col min="10734" max="10734" width="9.109375" style="13" customWidth="1"/>
    <col min="10735" max="10736" width="10" style="13" customWidth="1"/>
    <col min="10737" max="10737" width="10.88671875" style="13" bestFit="1" customWidth="1"/>
    <col min="10738" max="10975" width="8.88671875" style="13"/>
    <col min="10976" max="10976" width="66.5546875" style="13" bestFit="1" customWidth="1"/>
    <col min="10977" max="10977" width="11.5546875" style="13" bestFit="1" customWidth="1"/>
    <col min="10978" max="10978" width="8.88671875" style="13" bestFit="1" customWidth="1"/>
    <col min="10979" max="10979" width="10" style="13" customWidth="1"/>
    <col min="10980" max="10980" width="12.109375" style="13" bestFit="1" customWidth="1"/>
    <col min="10981" max="10981" width="13.88671875" style="13" bestFit="1" customWidth="1"/>
    <col min="10982" max="10982" width="13.44140625" style="13" customWidth="1"/>
    <col min="10983" max="10983" width="12.109375" style="13" customWidth="1"/>
    <col min="10984" max="10984" width="11.88671875" style="13" customWidth="1"/>
    <col min="10985" max="10985" width="12.44140625" style="13" customWidth="1"/>
    <col min="10986" max="10986" width="11.44140625" style="13" customWidth="1"/>
    <col min="10987" max="10987" width="13.109375" style="13" bestFit="1" customWidth="1"/>
    <col min="10988" max="10988" width="9.5546875" style="13" bestFit="1" customWidth="1"/>
    <col min="10989" max="10989" width="11.44140625" style="13" customWidth="1"/>
    <col min="10990" max="10990" width="9.109375" style="13" customWidth="1"/>
    <col min="10991" max="10992" width="10" style="13" customWidth="1"/>
    <col min="10993" max="10993" width="10.88671875" style="13" bestFit="1" customWidth="1"/>
    <col min="10994" max="11231" width="8.88671875" style="13"/>
    <col min="11232" max="11232" width="66.5546875" style="13" bestFit="1" customWidth="1"/>
    <col min="11233" max="11233" width="11.5546875" style="13" bestFit="1" customWidth="1"/>
    <col min="11234" max="11234" width="8.88671875" style="13" bestFit="1" customWidth="1"/>
    <col min="11235" max="11235" width="10" style="13" customWidth="1"/>
    <col min="11236" max="11236" width="12.109375" style="13" bestFit="1" customWidth="1"/>
    <col min="11237" max="11237" width="13.88671875" style="13" bestFit="1" customWidth="1"/>
    <col min="11238" max="11238" width="13.44140625" style="13" customWidth="1"/>
    <col min="11239" max="11239" width="12.109375" style="13" customWidth="1"/>
    <col min="11240" max="11240" width="11.88671875" style="13" customWidth="1"/>
    <col min="11241" max="11241" width="12.44140625" style="13" customWidth="1"/>
    <col min="11242" max="11242" width="11.44140625" style="13" customWidth="1"/>
    <col min="11243" max="11243" width="13.109375" style="13" bestFit="1" customWidth="1"/>
    <col min="11244" max="11244" width="9.5546875" style="13" bestFit="1" customWidth="1"/>
    <col min="11245" max="11245" width="11.44140625" style="13" customWidth="1"/>
    <col min="11246" max="11246" width="9.109375" style="13" customWidth="1"/>
    <col min="11247" max="11248" width="10" style="13" customWidth="1"/>
    <col min="11249" max="11249" width="10.88671875" style="13" bestFit="1" customWidth="1"/>
    <col min="11250" max="11487" width="8.88671875" style="13"/>
    <col min="11488" max="11488" width="66.5546875" style="13" bestFit="1" customWidth="1"/>
    <col min="11489" max="11489" width="11.5546875" style="13" bestFit="1" customWidth="1"/>
    <col min="11490" max="11490" width="8.88671875" style="13" bestFit="1" customWidth="1"/>
    <col min="11491" max="11491" width="10" style="13" customWidth="1"/>
    <col min="11492" max="11492" width="12.109375" style="13" bestFit="1" customWidth="1"/>
    <col min="11493" max="11493" width="13.88671875" style="13" bestFit="1" customWidth="1"/>
    <col min="11494" max="11494" width="13.44140625" style="13" customWidth="1"/>
    <col min="11495" max="11495" width="12.109375" style="13" customWidth="1"/>
    <col min="11496" max="11496" width="11.88671875" style="13" customWidth="1"/>
    <col min="11497" max="11497" width="12.44140625" style="13" customWidth="1"/>
    <col min="11498" max="11498" width="11.44140625" style="13" customWidth="1"/>
    <col min="11499" max="11499" width="13.109375" style="13" bestFit="1" customWidth="1"/>
    <col min="11500" max="11500" width="9.5546875" style="13" bestFit="1" customWidth="1"/>
    <col min="11501" max="11501" width="11.44140625" style="13" customWidth="1"/>
    <col min="11502" max="11502" width="9.109375" style="13" customWidth="1"/>
    <col min="11503" max="11504" width="10" style="13" customWidth="1"/>
    <col min="11505" max="11505" width="10.88671875" style="13" bestFit="1" customWidth="1"/>
    <col min="11506" max="11743" width="8.88671875" style="13"/>
    <col min="11744" max="11744" width="66.5546875" style="13" bestFit="1" customWidth="1"/>
    <col min="11745" max="11745" width="11.5546875" style="13" bestFit="1" customWidth="1"/>
    <col min="11746" max="11746" width="8.88671875" style="13" bestFit="1" customWidth="1"/>
    <col min="11747" max="11747" width="10" style="13" customWidth="1"/>
    <col min="11748" max="11748" width="12.109375" style="13" bestFit="1" customWidth="1"/>
    <col min="11749" max="11749" width="13.88671875" style="13" bestFit="1" customWidth="1"/>
    <col min="11750" max="11750" width="13.44140625" style="13" customWidth="1"/>
    <col min="11751" max="11751" width="12.109375" style="13" customWidth="1"/>
    <col min="11752" max="11752" width="11.88671875" style="13" customWidth="1"/>
    <col min="11753" max="11753" width="12.44140625" style="13" customWidth="1"/>
    <col min="11754" max="11754" width="11.44140625" style="13" customWidth="1"/>
    <col min="11755" max="11755" width="13.109375" style="13" bestFit="1" customWidth="1"/>
    <col min="11756" max="11756" width="9.5546875" style="13" bestFit="1" customWidth="1"/>
    <col min="11757" max="11757" width="11.44140625" style="13" customWidth="1"/>
    <col min="11758" max="11758" width="9.109375" style="13" customWidth="1"/>
    <col min="11759" max="11760" width="10" style="13" customWidth="1"/>
    <col min="11761" max="11761" width="10.88671875" style="13" bestFit="1" customWidth="1"/>
    <col min="11762" max="11999" width="8.88671875" style="13"/>
    <col min="12000" max="12000" width="66.5546875" style="13" bestFit="1" customWidth="1"/>
    <col min="12001" max="12001" width="11.5546875" style="13" bestFit="1" customWidth="1"/>
    <col min="12002" max="12002" width="8.88671875" style="13" bestFit="1" customWidth="1"/>
    <col min="12003" max="12003" width="10" style="13" customWidth="1"/>
    <col min="12004" max="12004" width="12.109375" style="13" bestFit="1" customWidth="1"/>
    <col min="12005" max="12005" width="13.88671875" style="13" bestFit="1" customWidth="1"/>
    <col min="12006" max="12006" width="13.44140625" style="13" customWidth="1"/>
    <col min="12007" max="12007" width="12.109375" style="13" customWidth="1"/>
    <col min="12008" max="12008" width="11.88671875" style="13" customWidth="1"/>
    <col min="12009" max="12009" width="12.44140625" style="13" customWidth="1"/>
    <col min="12010" max="12010" width="11.44140625" style="13" customWidth="1"/>
    <col min="12011" max="12011" width="13.109375" style="13" bestFit="1" customWidth="1"/>
    <col min="12012" max="12012" width="9.5546875" style="13" bestFit="1" customWidth="1"/>
    <col min="12013" max="12013" width="11.44140625" style="13" customWidth="1"/>
    <col min="12014" max="12014" width="9.109375" style="13" customWidth="1"/>
    <col min="12015" max="12016" width="10" style="13" customWidth="1"/>
    <col min="12017" max="12017" width="10.88671875" style="13" bestFit="1" customWidth="1"/>
    <col min="12018" max="12255" width="8.88671875" style="13"/>
    <col min="12256" max="12256" width="66.5546875" style="13" bestFit="1" customWidth="1"/>
    <col min="12257" max="12257" width="11.5546875" style="13" bestFit="1" customWidth="1"/>
    <col min="12258" max="12258" width="8.88671875" style="13" bestFit="1" customWidth="1"/>
    <col min="12259" max="12259" width="10" style="13" customWidth="1"/>
    <col min="12260" max="12260" width="12.109375" style="13" bestFit="1" customWidth="1"/>
    <col min="12261" max="12261" width="13.88671875" style="13" bestFit="1" customWidth="1"/>
    <col min="12262" max="12262" width="13.44140625" style="13" customWidth="1"/>
    <col min="12263" max="12263" width="12.109375" style="13" customWidth="1"/>
    <col min="12264" max="12264" width="11.88671875" style="13" customWidth="1"/>
    <col min="12265" max="12265" width="12.44140625" style="13" customWidth="1"/>
    <col min="12266" max="12266" width="11.44140625" style="13" customWidth="1"/>
    <col min="12267" max="12267" width="13.109375" style="13" bestFit="1" customWidth="1"/>
    <col min="12268" max="12268" width="9.5546875" style="13" bestFit="1" customWidth="1"/>
    <col min="12269" max="12269" width="11.44140625" style="13" customWidth="1"/>
    <col min="12270" max="12270" width="9.109375" style="13" customWidth="1"/>
    <col min="12271" max="12272" width="10" style="13" customWidth="1"/>
    <col min="12273" max="12273" width="10.88671875" style="13" bestFit="1" customWidth="1"/>
    <col min="12274" max="12511" width="8.88671875" style="13"/>
    <col min="12512" max="12512" width="66.5546875" style="13" bestFit="1" customWidth="1"/>
    <col min="12513" max="12513" width="11.5546875" style="13" bestFit="1" customWidth="1"/>
    <col min="12514" max="12514" width="8.88671875" style="13" bestFit="1" customWidth="1"/>
    <col min="12515" max="12515" width="10" style="13" customWidth="1"/>
    <col min="12516" max="12516" width="12.109375" style="13" bestFit="1" customWidth="1"/>
    <col min="12517" max="12517" width="13.88671875" style="13" bestFit="1" customWidth="1"/>
    <col min="12518" max="12518" width="13.44140625" style="13" customWidth="1"/>
    <col min="12519" max="12519" width="12.109375" style="13" customWidth="1"/>
    <col min="12520" max="12520" width="11.88671875" style="13" customWidth="1"/>
    <col min="12521" max="12521" width="12.44140625" style="13" customWidth="1"/>
    <col min="12522" max="12522" width="11.44140625" style="13" customWidth="1"/>
    <col min="12523" max="12523" width="13.109375" style="13" bestFit="1" customWidth="1"/>
    <col min="12524" max="12524" width="9.5546875" style="13" bestFit="1" customWidth="1"/>
    <col min="12525" max="12525" width="11.44140625" style="13" customWidth="1"/>
    <col min="12526" max="12526" width="9.109375" style="13" customWidth="1"/>
    <col min="12527" max="12528" width="10" style="13" customWidth="1"/>
    <col min="12529" max="12529" width="10.88671875" style="13" bestFit="1" customWidth="1"/>
    <col min="12530" max="12767" width="8.88671875" style="13"/>
    <col min="12768" max="12768" width="66.5546875" style="13" bestFit="1" customWidth="1"/>
    <col min="12769" max="12769" width="11.5546875" style="13" bestFit="1" customWidth="1"/>
    <col min="12770" max="12770" width="8.88671875" style="13" bestFit="1" customWidth="1"/>
    <col min="12771" max="12771" width="10" style="13" customWidth="1"/>
    <col min="12772" max="12772" width="12.109375" style="13" bestFit="1" customWidth="1"/>
    <col min="12773" max="12773" width="13.88671875" style="13" bestFit="1" customWidth="1"/>
    <col min="12774" max="12774" width="13.44140625" style="13" customWidth="1"/>
    <col min="12775" max="12775" width="12.109375" style="13" customWidth="1"/>
    <col min="12776" max="12776" width="11.88671875" style="13" customWidth="1"/>
    <col min="12777" max="12777" width="12.44140625" style="13" customWidth="1"/>
    <col min="12778" max="12778" width="11.44140625" style="13" customWidth="1"/>
    <col min="12779" max="12779" width="13.109375" style="13" bestFit="1" customWidth="1"/>
    <col min="12780" max="12780" width="9.5546875" style="13" bestFit="1" customWidth="1"/>
    <col min="12781" max="12781" width="11.44140625" style="13" customWidth="1"/>
    <col min="12782" max="12782" width="9.109375" style="13" customWidth="1"/>
    <col min="12783" max="12784" width="10" style="13" customWidth="1"/>
    <col min="12785" max="12785" width="10.88671875" style="13" bestFit="1" customWidth="1"/>
    <col min="12786" max="13023" width="8.88671875" style="13"/>
    <col min="13024" max="13024" width="66.5546875" style="13" bestFit="1" customWidth="1"/>
    <col min="13025" max="13025" width="11.5546875" style="13" bestFit="1" customWidth="1"/>
    <col min="13026" max="13026" width="8.88671875" style="13" bestFit="1" customWidth="1"/>
    <col min="13027" max="13027" width="10" style="13" customWidth="1"/>
    <col min="13028" max="13028" width="12.109375" style="13" bestFit="1" customWidth="1"/>
    <col min="13029" max="13029" width="13.88671875" style="13" bestFit="1" customWidth="1"/>
    <col min="13030" max="13030" width="13.44140625" style="13" customWidth="1"/>
    <col min="13031" max="13031" width="12.109375" style="13" customWidth="1"/>
    <col min="13032" max="13032" width="11.88671875" style="13" customWidth="1"/>
    <col min="13033" max="13033" width="12.44140625" style="13" customWidth="1"/>
    <col min="13034" max="13034" width="11.44140625" style="13" customWidth="1"/>
    <col min="13035" max="13035" width="13.109375" style="13" bestFit="1" customWidth="1"/>
    <col min="13036" max="13036" width="9.5546875" style="13" bestFit="1" customWidth="1"/>
    <col min="13037" max="13037" width="11.44140625" style="13" customWidth="1"/>
    <col min="13038" max="13038" width="9.109375" style="13" customWidth="1"/>
    <col min="13039" max="13040" width="10" style="13" customWidth="1"/>
    <col min="13041" max="13041" width="10.88671875" style="13" bestFit="1" customWidth="1"/>
    <col min="13042" max="13279" width="8.88671875" style="13"/>
    <col min="13280" max="13280" width="66.5546875" style="13" bestFit="1" customWidth="1"/>
    <col min="13281" max="13281" width="11.5546875" style="13" bestFit="1" customWidth="1"/>
    <col min="13282" max="13282" width="8.88671875" style="13" bestFit="1" customWidth="1"/>
    <col min="13283" max="13283" width="10" style="13" customWidth="1"/>
    <col min="13284" max="13284" width="12.109375" style="13" bestFit="1" customWidth="1"/>
    <col min="13285" max="13285" width="13.88671875" style="13" bestFit="1" customWidth="1"/>
    <col min="13286" max="13286" width="13.44140625" style="13" customWidth="1"/>
    <col min="13287" max="13287" width="12.109375" style="13" customWidth="1"/>
    <col min="13288" max="13288" width="11.88671875" style="13" customWidth="1"/>
    <col min="13289" max="13289" width="12.44140625" style="13" customWidth="1"/>
    <col min="13290" max="13290" width="11.44140625" style="13" customWidth="1"/>
    <col min="13291" max="13291" width="13.109375" style="13" bestFit="1" customWidth="1"/>
    <col min="13292" max="13292" width="9.5546875" style="13" bestFit="1" customWidth="1"/>
    <col min="13293" max="13293" width="11.44140625" style="13" customWidth="1"/>
    <col min="13294" max="13294" width="9.109375" style="13" customWidth="1"/>
    <col min="13295" max="13296" width="10" style="13" customWidth="1"/>
    <col min="13297" max="13297" width="10.88671875" style="13" bestFit="1" customWidth="1"/>
    <col min="13298" max="13535" width="8.88671875" style="13"/>
    <col min="13536" max="13536" width="66.5546875" style="13" bestFit="1" customWidth="1"/>
    <col min="13537" max="13537" width="11.5546875" style="13" bestFit="1" customWidth="1"/>
    <col min="13538" max="13538" width="8.88671875" style="13" bestFit="1" customWidth="1"/>
    <col min="13539" max="13539" width="10" style="13" customWidth="1"/>
    <col min="13540" max="13540" width="12.109375" style="13" bestFit="1" customWidth="1"/>
    <col min="13541" max="13541" width="13.88671875" style="13" bestFit="1" customWidth="1"/>
    <col min="13542" max="13542" width="13.44140625" style="13" customWidth="1"/>
    <col min="13543" max="13543" width="12.109375" style="13" customWidth="1"/>
    <col min="13544" max="13544" width="11.88671875" style="13" customWidth="1"/>
    <col min="13545" max="13545" width="12.44140625" style="13" customWidth="1"/>
    <col min="13546" max="13546" width="11.44140625" style="13" customWidth="1"/>
    <col min="13547" max="13547" width="13.109375" style="13" bestFit="1" customWidth="1"/>
    <col min="13548" max="13548" width="9.5546875" style="13" bestFit="1" customWidth="1"/>
    <col min="13549" max="13549" width="11.44140625" style="13" customWidth="1"/>
    <col min="13550" max="13550" width="9.109375" style="13" customWidth="1"/>
    <col min="13551" max="13552" width="10" style="13" customWidth="1"/>
    <col min="13553" max="13553" width="10.88671875" style="13" bestFit="1" customWidth="1"/>
    <col min="13554" max="13791" width="8.88671875" style="13"/>
    <col min="13792" max="13792" width="66.5546875" style="13" bestFit="1" customWidth="1"/>
    <col min="13793" max="13793" width="11.5546875" style="13" bestFit="1" customWidth="1"/>
    <col min="13794" max="13794" width="8.88671875" style="13" bestFit="1" customWidth="1"/>
    <col min="13795" max="13795" width="10" style="13" customWidth="1"/>
    <col min="13796" max="13796" width="12.109375" style="13" bestFit="1" customWidth="1"/>
    <col min="13797" max="13797" width="13.88671875" style="13" bestFit="1" customWidth="1"/>
    <col min="13798" max="13798" width="13.44140625" style="13" customWidth="1"/>
    <col min="13799" max="13799" width="12.109375" style="13" customWidth="1"/>
    <col min="13800" max="13800" width="11.88671875" style="13" customWidth="1"/>
    <col min="13801" max="13801" width="12.44140625" style="13" customWidth="1"/>
    <col min="13802" max="13802" width="11.44140625" style="13" customWidth="1"/>
    <col min="13803" max="13803" width="13.109375" style="13" bestFit="1" customWidth="1"/>
    <col min="13804" max="13804" width="9.5546875" style="13" bestFit="1" customWidth="1"/>
    <col min="13805" max="13805" width="11.44140625" style="13" customWidth="1"/>
    <col min="13806" max="13806" width="9.109375" style="13" customWidth="1"/>
    <col min="13807" max="13808" width="10" style="13" customWidth="1"/>
    <col min="13809" max="13809" width="10.88671875" style="13" bestFit="1" customWidth="1"/>
    <col min="13810" max="14047" width="8.88671875" style="13"/>
    <col min="14048" max="14048" width="66.5546875" style="13" bestFit="1" customWidth="1"/>
    <col min="14049" max="14049" width="11.5546875" style="13" bestFit="1" customWidth="1"/>
    <col min="14050" max="14050" width="8.88671875" style="13" bestFit="1" customWidth="1"/>
    <col min="14051" max="14051" width="10" style="13" customWidth="1"/>
    <col min="14052" max="14052" width="12.109375" style="13" bestFit="1" customWidth="1"/>
    <col min="14053" max="14053" width="13.88671875" style="13" bestFit="1" customWidth="1"/>
    <col min="14054" max="14054" width="13.44140625" style="13" customWidth="1"/>
    <col min="14055" max="14055" width="12.109375" style="13" customWidth="1"/>
    <col min="14056" max="14056" width="11.88671875" style="13" customWidth="1"/>
    <col min="14057" max="14057" width="12.44140625" style="13" customWidth="1"/>
    <col min="14058" max="14058" width="11.44140625" style="13" customWidth="1"/>
    <col min="14059" max="14059" width="13.109375" style="13" bestFit="1" customWidth="1"/>
    <col min="14060" max="14060" width="9.5546875" style="13" bestFit="1" customWidth="1"/>
    <col min="14061" max="14061" width="11.44140625" style="13" customWidth="1"/>
    <col min="14062" max="14062" width="9.109375" style="13" customWidth="1"/>
    <col min="14063" max="14064" width="10" style="13" customWidth="1"/>
    <col min="14065" max="14065" width="10.88671875" style="13" bestFit="1" customWidth="1"/>
    <col min="14066" max="14303" width="8.88671875" style="13"/>
    <col min="14304" max="14304" width="66.5546875" style="13" bestFit="1" customWidth="1"/>
    <col min="14305" max="14305" width="11.5546875" style="13" bestFit="1" customWidth="1"/>
    <col min="14306" max="14306" width="8.88671875" style="13" bestFit="1" customWidth="1"/>
    <col min="14307" max="14307" width="10" style="13" customWidth="1"/>
    <col min="14308" max="14308" width="12.109375" style="13" bestFit="1" customWidth="1"/>
    <col min="14309" max="14309" width="13.88671875" style="13" bestFit="1" customWidth="1"/>
    <col min="14310" max="14310" width="13.44140625" style="13" customWidth="1"/>
    <col min="14311" max="14311" width="12.109375" style="13" customWidth="1"/>
    <col min="14312" max="14312" width="11.88671875" style="13" customWidth="1"/>
    <col min="14313" max="14313" width="12.44140625" style="13" customWidth="1"/>
    <col min="14314" max="14314" width="11.44140625" style="13" customWidth="1"/>
    <col min="14315" max="14315" width="13.109375" style="13" bestFit="1" customWidth="1"/>
    <col min="14316" max="14316" width="9.5546875" style="13" bestFit="1" customWidth="1"/>
    <col min="14317" max="14317" width="11.44140625" style="13" customWidth="1"/>
    <col min="14318" max="14318" width="9.109375" style="13" customWidth="1"/>
    <col min="14319" max="14320" width="10" style="13" customWidth="1"/>
    <col min="14321" max="14321" width="10.88671875" style="13" bestFit="1" customWidth="1"/>
    <col min="14322" max="14559" width="8.88671875" style="13"/>
    <col min="14560" max="14560" width="66.5546875" style="13" bestFit="1" customWidth="1"/>
    <col min="14561" max="14561" width="11.5546875" style="13" bestFit="1" customWidth="1"/>
    <col min="14562" max="14562" width="8.88671875" style="13" bestFit="1" customWidth="1"/>
    <col min="14563" max="14563" width="10" style="13" customWidth="1"/>
    <col min="14564" max="14564" width="12.109375" style="13" bestFit="1" customWidth="1"/>
    <col min="14565" max="14565" width="13.88671875" style="13" bestFit="1" customWidth="1"/>
    <col min="14566" max="14566" width="13.44140625" style="13" customWidth="1"/>
    <col min="14567" max="14567" width="12.109375" style="13" customWidth="1"/>
    <col min="14568" max="14568" width="11.88671875" style="13" customWidth="1"/>
    <col min="14569" max="14569" width="12.44140625" style="13" customWidth="1"/>
    <col min="14570" max="14570" width="11.44140625" style="13" customWidth="1"/>
    <col min="14571" max="14571" width="13.109375" style="13" bestFit="1" customWidth="1"/>
    <col min="14572" max="14572" width="9.5546875" style="13" bestFit="1" customWidth="1"/>
    <col min="14573" max="14573" width="11.44140625" style="13" customWidth="1"/>
    <col min="14574" max="14574" width="9.109375" style="13" customWidth="1"/>
    <col min="14575" max="14576" width="10" style="13" customWidth="1"/>
    <col min="14577" max="14577" width="10.88671875" style="13" bestFit="1" customWidth="1"/>
    <col min="14578" max="14815" width="8.88671875" style="13"/>
    <col min="14816" max="14816" width="66.5546875" style="13" bestFit="1" customWidth="1"/>
    <col min="14817" max="14817" width="11.5546875" style="13" bestFit="1" customWidth="1"/>
    <col min="14818" max="14818" width="8.88671875" style="13" bestFit="1" customWidth="1"/>
    <col min="14819" max="14819" width="10" style="13" customWidth="1"/>
    <col min="14820" max="14820" width="12.109375" style="13" bestFit="1" customWidth="1"/>
    <col min="14821" max="14821" width="13.88671875" style="13" bestFit="1" customWidth="1"/>
    <col min="14822" max="14822" width="13.44140625" style="13" customWidth="1"/>
    <col min="14823" max="14823" width="12.109375" style="13" customWidth="1"/>
    <col min="14824" max="14824" width="11.88671875" style="13" customWidth="1"/>
    <col min="14825" max="14825" width="12.44140625" style="13" customWidth="1"/>
    <col min="14826" max="14826" width="11.44140625" style="13" customWidth="1"/>
    <col min="14827" max="14827" width="13.109375" style="13" bestFit="1" customWidth="1"/>
    <col min="14828" max="14828" width="9.5546875" style="13" bestFit="1" customWidth="1"/>
    <col min="14829" max="14829" width="11.44140625" style="13" customWidth="1"/>
    <col min="14830" max="14830" width="9.109375" style="13" customWidth="1"/>
    <col min="14831" max="14832" width="10" style="13" customWidth="1"/>
    <col min="14833" max="14833" width="10.88671875" style="13" bestFit="1" customWidth="1"/>
    <col min="14834" max="15071" width="8.88671875" style="13"/>
    <col min="15072" max="15072" width="66.5546875" style="13" bestFit="1" customWidth="1"/>
    <col min="15073" max="15073" width="11.5546875" style="13" bestFit="1" customWidth="1"/>
    <col min="15074" max="15074" width="8.88671875" style="13" bestFit="1" customWidth="1"/>
    <col min="15075" max="15075" width="10" style="13" customWidth="1"/>
    <col min="15076" max="15076" width="12.109375" style="13" bestFit="1" customWidth="1"/>
    <col min="15077" max="15077" width="13.88671875" style="13" bestFit="1" customWidth="1"/>
    <col min="15078" max="15078" width="13.44140625" style="13" customWidth="1"/>
    <col min="15079" max="15079" width="12.109375" style="13" customWidth="1"/>
    <col min="15080" max="15080" width="11.88671875" style="13" customWidth="1"/>
    <col min="15081" max="15081" width="12.44140625" style="13" customWidth="1"/>
    <col min="15082" max="15082" width="11.44140625" style="13" customWidth="1"/>
    <col min="15083" max="15083" width="13.109375" style="13" bestFit="1" customWidth="1"/>
    <col min="15084" max="15084" width="9.5546875" style="13" bestFit="1" customWidth="1"/>
    <col min="15085" max="15085" width="11.44140625" style="13" customWidth="1"/>
    <col min="15086" max="15086" width="9.109375" style="13" customWidth="1"/>
    <col min="15087" max="15088" width="10" style="13" customWidth="1"/>
    <col min="15089" max="15089" width="10.88671875" style="13" bestFit="1" customWidth="1"/>
    <col min="15090" max="15327" width="8.88671875" style="13"/>
    <col min="15328" max="15328" width="66.5546875" style="13" bestFit="1" customWidth="1"/>
    <col min="15329" max="15329" width="11.5546875" style="13" bestFit="1" customWidth="1"/>
    <col min="15330" max="15330" width="8.88671875" style="13" bestFit="1" customWidth="1"/>
    <col min="15331" max="15331" width="10" style="13" customWidth="1"/>
    <col min="15332" max="15332" width="12.109375" style="13" bestFit="1" customWidth="1"/>
    <col min="15333" max="15333" width="13.88671875" style="13" bestFit="1" customWidth="1"/>
    <col min="15334" max="15334" width="13.44140625" style="13" customWidth="1"/>
    <col min="15335" max="15335" width="12.109375" style="13" customWidth="1"/>
    <col min="15336" max="15336" width="11.88671875" style="13" customWidth="1"/>
    <col min="15337" max="15337" width="12.44140625" style="13" customWidth="1"/>
    <col min="15338" max="15338" width="11.44140625" style="13" customWidth="1"/>
    <col min="15339" max="15339" width="13.109375" style="13" bestFit="1" customWidth="1"/>
    <col min="15340" max="15340" width="9.5546875" style="13" bestFit="1" customWidth="1"/>
    <col min="15341" max="15341" width="11.44140625" style="13" customWidth="1"/>
    <col min="15342" max="15342" width="9.109375" style="13" customWidth="1"/>
    <col min="15343" max="15344" width="10" style="13" customWidth="1"/>
    <col min="15345" max="15345" width="10.88671875" style="13" bestFit="1" customWidth="1"/>
    <col min="15346" max="15583" width="8.88671875" style="13"/>
    <col min="15584" max="15584" width="66.5546875" style="13" bestFit="1" customWidth="1"/>
    <col min="15585" max="15585" width="11.5546875" style="13" bestFit="1" customWidth="1"/>
    <col min="15586" max="15586" width="8.88671875" style="13" bestFit="1" customWidth="1"/>
    <col min="15587" max="15587" width="10" style="13" customWidth="1"/>
    <col min="15588" max="15588" width="12.109375" style="13" bestFit="1" customWidth="1"/>
    <col min="15589" max="15589" width="13.88671875" style="13" bestFit="1" customWidth="1"/>
    <col min="15590" max="15590" width="13.44140625" style="13" customWidth="1"/>
    <col min="15591" max="15591" width="12.109375" style="13" customWidth="1"/>
    <col min="15592" max="15592" width="11.88671875" style="13" customWidth="1"/>
    <col min="15593" max="15593" width="12.44140625" style="13" customWidth="1"/>
    <col min="15594" max="15594" width="11.44140625" style="13" customWidth="1"/>
    <col min="15595" max="15595" width="13.109375" style="13" bestFit="1" customWidth="1"/>
    <col min="15596" max="15596" width="9.5546875" style="13" bestFit="1" customWidth="1"/>
    <col min="15597" max="15597" width="11.44140625" style="13" customWidth="1"/>
    <col min="15598" max="15598" width="9.109375" style="13" customWidth="1"/>
    <col min="15599" max="15600" width="10" style="13" customWidth="1"/>
    <col min="15601" max="15601" width="10.88671875" style="13" bestFit="1" customWidth="1"/>
    <col min="15602" max="15839" width="8.88671875" style="13"/>
    <col min="15840" max="15840" width="66.5546875" style="13" bestFit="1" customWidth="1"/>
    <col min="15841" max="15841" width="11.5546875" style="13" bestFit="1" customWidth="1"/>
    <col min="15842" max="15842" width="8.88671875" style="13" bestFit="1" customWidth="1"/>
    <col min="15843" max="15843" width="10" style="13" customWidth="1"/>
    <col min="15844" max="15844" width="12.109375" style="13" bestFit="1" customWidth="1"/>
    <col min="15845" max="15845" width="13.88671875" style="13" bestFit="1" customWidth="1"/>
    <col min="15846" max="15846" width="13.44140625" style="13" customWidth="1"/>
    <col min="15847" max="15847" width="12.109375" style="13" customWidth="1"/>
    <col min="15848" max="15848" width="11.88671875" style="13" customWidth="1"/>
    <col min="15849" max="15849" width="12.44140625" style="13" customWidth="1"/>
    <col min="15850" max="15850" width="11.44140625" style="13" customWidth="1"/>
    <col min="15851" max="15851" width="13.109375" style="13" bestFit="1" customWidth="1"/>
    <col min="15852" max="15852" width="9.5546875" style="13" bestFit="1" customWidth="1"/>
    <col min="15853" max="15853" width="11.44140625" style="13" customWidth="1"/>
    <col min="15854" max="15854" width="9.109375" style="13" customWidth="1"/>
    <col min="15855" max="15856" width="10" style="13" customWidth="1"/>
    <col min="15857" max="15857" width="10.88671875" style="13" bestFit="1" customWidth="1"/>
    <col min="15858" max="16095" width="8.88671875" style="13"/>
    <col min="16096" max="16096" width="66.5546875" style="13" bestFit="1" customWidth="1"/>
    <col min="16097" max="16097" width="11.5546875" style="13" bestFit="1" customWidth="1"/>
    <col min="16098" max="16098" width="8.88671875" style="13" bestFit="1" customWidth="1"/>
    <col min="16099" max="16099" width="10" style="13" customWidth="1"/>
    <col min="16100" max="16100" width="12.109375" style="13" bestFit="1" customWidth="1"/>
    <col min="16101" max="16101" width="13.88671875" style="13" bestFit="1" customWidth="1"/>
    <col min="16102" max="16102" width="13.44140625" style="13" customWidth="1"/>
    <col min="16103" max="16103" width="12.109375" style="13" customWidth="1"/>
    <col min="16104" max="16104" width="11.88671875" style="13" customWidth="1"/>
    <col min="16105" max="16105" width="12.44140625" style="13" customWidth="1"/>
    <col min="16106" max="16106" width="11.44140625" style="13" customWidth="1"/>
    <col min="16107" max="16107" width="13.109375" style="13" bestFit="1" customWidth="1"/>
    <col min="16108" max="16108" width="9.5546875" style="13" bestFit="1" customWidth="1"/>
    <col min="16109" max="16109" width="11.44140625" style="13" customWidth="1"/>
    <col min="16110" max="16110" width="9.109375" style="13" customWidth="1"/>
    <col min="16111" max="16112" width="10" style="13" customWidth="1"/>
    <col min="16113" max="16113" width="10.88671875" style="13" bestFit="1" customWidth="1"/>
    <col min="16114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82</v>
      </c>
      <c r="B2" s="42">
        <v>5297</v>
      </c>
      <c r="C2" s="42">
        <v>9007.3539842835198</v>
      </c>
      <c r="D2" s="42">
        <v>970.11401264363667</v>
      </c>
      <c r="E2" s="42">
        <v>69128.378897873175</v>
      </c>
      <c r="F2" s="42">
        <v>61973.066677937182</v>
      </c>
      <c r="G2" s="42">
        <v>3377.1198957684828</v>
      </c>
      <c r="H2" s="42">
        <v>3199.7224747239125</v>
      </c>
      <c r="I2" s="42">
        <v>36410.411294655423</v>
      </c>
      <c r="J2" s="42">
        <v>9217.3930356614001</v>
      </c>
      <c r="K2" s="42">
        <v>49978.599445284752</v>
      </c>
      <c r="L2" s="42">
        <v>32938.589097162141</v>
      </c>
      <c r="M2" s="42">
        <v>51467.687001131359</v>
      </c>
      <c r="N2" s="42">
        <v>106260.36872833429</v>
      </c>
      <c r="O2" s="42">
        <v>0</v>
      </c>
      <c r="P2" s="42">
        <f t="shared" ref="P2:Z2" ca="1" si="0">O2*(RAND()*(1.04-1.025)+1.025)</f>
        <v>0</v>
      </c>
      <c r="Q2" s="42">
        <f t="shared" ca="1" si="0"/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</row>
    <row r="3" spans="1:26" x14ac:dyDescent="0.2">
      <c r="A3" s="12" t="s">
        <v>83</v>
      </c>
      <c r="B3" s="42">
        <v>109164.73109594014</v>
      </c>
      <c r="C3" s="42">
        <v>109364.8</v>
      </c>
      <c r="D3" s="42">
        <v>104862.03127593001</v>
      </c>
      <c r="E3" s="42">
        <v>107460.70783204175</v>
      </c>
      <c r="F3" s="42">
        <v>144869.31134359751</v>
      </c>
      <c r="G3" s="42">
        <v>158085.8680208546</v>
      </c>
      <c r="H3" s="42">
        <v>128120.81252859323</v>
      </c>
      <c r="I3" s="42">
        <v>110365.99498029456</v>
      </c>
      <c r="J3" s="42">
        <v>100237.62176769711</v>
      </c>
      <c r="K3" s="42">
        <v>143107.0116076436</v>
      </c>
      <c r="L3" s="42">
        <v>154871.78207848271</v>
      </c>
      <c r="M3" s="42">
        <v>149712.56572213367</v>
      </c>
      <c r="N3" s="42">
        <v>150175.74565049403</v>
      </c>
      <c r="O3" s="42">
        <v>0</v>
      </c>
      <c r="P3" s="42">
        <f t="shared" ref="P3:Z4" ca="1" si="1">O3*(RAND()*(1.15-0.93)+0.93)</f>
        <v>0</v>
      </c>
      <c r="Q3" s="42">
        <f t="shared" ca="1" si="1"/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</row>
    <row r="4" spans="1:26" x14ac:dyDescent="0.2">
      <c r="A4" s="12" t="s">
        <v>84</v>
      </c>
      <c r="B4" s="42">
        <v>168142.95269518925</v>
      </c>
      <c r="C4" s="42">
        <v>176213.3910344794</v>
      </c>
      <c r="D4" s="42">
        <v>183797.04964974552</v>
      </c>
      <c r="E4" s="42">
        <v>188097.33499598625</v>
      </c>
      <c r="F4" s="42">
        <v>195169.87089099811</v>
      </c>
      <c r="G4" s="42">
        <v>205630.11959630589</v>
      </c>
      <c r="H4" s="42">
        <v>219371.7267897749</v>
      </c>
      <c r="I4" s="42">
        <v>213132.14646400703</v>
      </c>
      <c r="J4" s="42">
        <v>226775.31416633673</v>
      </c>
      <c r="K4" s="42">
        <v>238177.54703184307</v>
      </c>
      <c r="L4" s="42">
        <v>253364.29098184008</v>
      </c>
      <c r="M4" s="42">
        <v>245838.12279105405</v>
      </c>
      <c r="N4" s="42">
        <v>262120.26923055129</v>
      </c>
      <c r="O4" s="42">
        <v>0</v>
      </c>
      <c r="P4" s="42">
        <f t="shared" ca="1" si="1"/>
        <v>0</v>
      </c>
      <c r="Q4" s="42">
        <f t="shared" ca="1" si="1"/>
        <v>0</v>
      </c>
      <c r="R4" s="42">
        <f t="shared" ca="1" si="1"/>
        <v>0</v>
      </c>
      <c r="S4" s="42">
        <f t="shared" ca="1" si="1"/>
        <v>0</v>
      </c>
      <c r="T4" s="42">
        <f t="shared" ca="1" si="1"/>
        <v>0</v>
      </c>
      <c r="U4" s="42">
        <f t="shared" ca="1" si="1"/>
        <v>0</v>
      </c>
      <c r="V4" s="42">
        <f t="shared" ca="1" si="1"/>
        <v>0</v>
      </c>
      <c r="W4" s="42">
        <f t="shared" ca="1" si="1"/>
        <v>0</v>
      </c>
      <c r="X4" s="42">
        <f t="shared" ca="1" si="1"/>
        <v>0</v>
      </c>
      <c r="Y4" s="42">
        <f t="shared" ca="1" si="1"/>
        <v>0</v>
      </c>
      <c r="Z4" s="42">
        <f t="shared" ca="1" si="1"/>
        <v>0</v>
      </c>
    </row>
    <row r="5" spans="1:26" x14ac:dyDescent="0.2">
      <c r="A5" s="12" t="s">
        <v>85</v>
      </c>
      <c r="B5" s="42">
        <v>0</v>
      </c>
      <c r="C5" s="42">
        <v>0</v>
      </c>
      <c r="D5" s="42">
        <v>0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</v>
      </c>
      <c r="K5" s="42">
        <v>0</v>
      </c>
      <c r="L5" s="42">
        <v>0</v>
      </c>
      <c r="M5" s="42">
        <v>0</v>
      </c>
      <c r="N5" s="95">
        <v>0</v>
      </c>
      <c r="O5" s="42">
        <v>0</v>
      </c>
      <c r="P5" s="42">
        <f t="shared" ref="P5:Z5" ca="1" si="2">O5*(RAND()*(1.05-1.1)+1.05)</f>
        <v>0</v>
      </c>
      <c r="Q5" s="42">
        <f t="shared" ca="1" si="2"/>
        <v>0</v>
      </c>
      <c r="R5" s="42">
        <f t="shared" ca="1" si="2"/>
        <v>0</v>
      </c>
      <c r="S5" s="42">
        <f t="shared" ca="1" si="2"/>
        <v>0</v>
      </c>
      <c r="T5" s="42">
        <f t="shared" ca="1" si="2"/>
        <v>0</v>
      </c>
      <c r="U5" s="42">
        <f t="shared" ca="1" si="2"/>
        <v>0</v>
      </c>
      <c r="V5" s="42">
        <f t="shared" ca="1" si="2"/>
        <v>0</v>
      </c>
      <c r="W5" s="42">
        <f t="shared" ca="1" si="2"/>
        <v>0</v>
      </c>
      <c r="X5" s="42">
        <f t="shared" ca="1" si="2"/>
        <v>0</v>
      </c>
      <c r="Y5" s="42">
        <f t="shared" ca="1" si="2"/>
        <v>0</v>
      </c>
      <c r="Z5" s="42">
        <f t="shared" ca="1" si="2"/>
        <v>0</v>
      </c>
    </row>
    <row r="6" spans="1:26" x14ac:dyDescent="0.2">
      <c r="A6" s="12" t="s">
        <v>86</v>
      </c>
      <c r="B6" s="42">
        <f>SUM(B2:B5)</f>
        <v>282604.68379112938</v>
      </c>
      <c r="C6" s="42">
        <f t="shared" ref="C6:N6" si="3">SUM(C2:C5)</f>
        <v>294585.54501876293</v>
      </c>
      <c r="D6" s="42">
        <f t="shared" si="3"/>
        <v>289629.19493831915</v>
      </c>
      <c r="E6" s="42">
        <f t="shared" si="3"/>
        <v>364686.42172590119</v>
      </c>
      <c r="F6" s="42">
        <f t="shared" si="3"/>
        <v>402012.24891253281</v>
      </c>
      <c r="G6" s="42">
        <f t="shared" si="3"/>
        <v>367093.10751292895</v>
      </c>
      <c r="H6" s="42">
        <f t="shared" si="3"/>
        <v>350692.26179309201</v>
      </c>
      <c r="I6" s="42">
        <f t="shared" si="3"/>
        <v>359908.55273895699</v>
      </c>
      <c r="J6" s="42">
        <f t="shared" si="3"/>
        <v>336230.32896969526</v>
      </c>
      <c r="K6" s="42">
        <f t="shared" si="3"/>
        <v>431263.15808477142</v>
      </c>
      <c r="L6" s="42">
        <f t="shared" si="3"/>
        <v>441174.66215748491</v>
      </c>
      <c r="M6" s="42">
        <f t="shared" si="3"/>
        <v>447018.37551431905</v>
      </c>
      <c r="N6" s="42">
        <f t="shared" si="3"/>
        <v>518556.38360937964</v>
      </c>
      <c r="O6" s="42">
        <v>0</v>
      </c>
      <c r="P6" s="42">
        <f t="shared" ref="P6:Z6" ca="1" si="4">O6*(RAND()*(1.05-1.01)+1.01)</f>
        <v>0</v>
      </c>
      <c r="Q6" s="42">
        <f t="shared" ca="1" si="4"/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</row>
    <row r="7" spans="1:26" x14ac:dyDescent="0.2">
      <c r="A7" s="12" t="s">
        <v>87</v>
      </c>
      <c r="B7" s="42">
        <v>874825.43239509477</v>
      </c>
      <c r="C7" s="42">
        <v>888977.78041387827</v>
      </c>
      <c r="D7" s="42">
        <v>898941.57135464589</v>
      </c>
      <c r="E7" s="42">
        <v>907807.36364481726</v>
      </c>
      <c r="F7" s="42">
        <v>966197.85825326247</v>
      </c>
      <c r="G7" s="42">
        <v>1017923.093222491</v>
      </c>
      <c r="H7" s="42">
        <v>1059865.8224482499</v>
      </c>
      <c r="I7" s="42">
        <v>1131525.9128823632</v>
      </c>
      <c r="J7" s="42">
        <v>1158386.8243463556</v>
      </c>
      <c r="K7" s="42">
        <v>1159324.9760359023</v>
      </c>
      <c r="L7" s="42">
        <v>1163625.9721146177</v>
      </c>
      <c r="M7" s="42">
        <v>1165859.866725384</v>
      </c>
      <c r="N7" s="42">
        <v>1166156.1778461398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">
      <c r="A8" s="12" t="s">
        <v>88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0</v>
      </c>
      <c r="N8" s="42">
        <v>0</v>
      </c>
      <c r="O8" s="42">
        <v>0</v>
      </c>
      <c r="P8" s="42">
        <f t="shared" ref="P8:Z8" ca="1" si="5">O8*(RAND()*(1.04-1.025)+1.025)</f>
        <v>0</v>
      </c>
      <c r="Q8" s="42">
        <f t="shared" ca="1" si="5"/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</row>
    <row r="9" spans="1:26" x14ac:dyDescent="0.2">
      <c r="A9" s="12" t="s">
        <v>89</v>
      </c>
      <c r="B9" s="42">
        <f>B6+B7+B8</f>
        <v>1157430.1161862242</v>
      </c>
      <c r="C9" s="42">
        <f t="shared" ref="C9:N9" si="6">C6+C7+C8</f>
        <v>1183563.3254326412</v>
      </c>
      <c r="D9" s="42">
        <f t="shared" si="6"/>
        <v>1188570.766292965</v>
      </c>
      <c r="E9" s="42">
        <f t="shared" si="6"/>
        <v>1272493.7853707185</v>
      </c>
      <c r="F9" s="42">
        <f t="shared" si="6"/>
        <v>1368210.1071657953</v>
      </c>
      <c r="G9" s="42">
        <f t="shared" si="6"/>
        <v>1385016.20073542</v>
      </c>
      <c r="H9" s="42">
        <f t="shared" si="6"/>
        <v>1410558.0842413418</v>
      </c>
      <c r="I9" s="42">
        <f t="shared" si="6"/>
        <v>1491434.4656213201</v>
      </c>
      <c r="J9" s="42">
        <f t="shared" si="6"/>
        <v>1494617.1533160508</v>
      </c>
      <c r="K9" s="42">
        <f t="shared" si="6"/>
        <v>1590588.1341206736</v>
      </c>
      <c r="L9" s="42">
        <f t="shared" si="6"/>
        <v>1604800.6342721027</v>
      </c>
      <c r="M9" s="42">
        <f t="shared" si="6"/>
        <v>1612878.242239703</v>
      </c>
      <c r="N9" s="42">
        <f t="shared" si="6"/>
        <v>1684712.5614555194</v>
      </c>
      <c r="O9" s="42">
        <f>'Cash Flow Statement_Actual'!O3*0.003</f>
        <v>0</v>
      </c>
      <c r="P9" s="42">
        <f>'Cash Flow Statement_Actual'!P3*0.003</f>
        <v>0</v>
      </c>
      <c r="Q9" s="42">
        <f>'Cash Flow Statement_Actual'!Q3*0.003</f>
        <v>0</v>
      </c>
      <c r="R9" s="42">
        <f>'Cash Flow Statement_Actual'!R3*0.003</f>
        <v>0</v>
      </c>
      <c r="S9" s="42">
        <f>'Cash Flow Statement_Actual'!S3*0.003</f>
        <v>0</v>
      </c>
      <c r="T9" s="42">
        <f>'Cash Flow Statement_Actual'!T3*0.003</f>
        <v>0</v>
      </c>
      <c r="U9" s="42">
        <f>'Cash Flow Statement_Actual'!U3*0.003</f>
        <v>0</v>
      </c>
      <c r="V9" s="42">
        <f>'Cash Flow Statement_Actual'!V3*0.003</f>
        <v>0</v>
      </c>
      <c r="W9" s="42">
        <f>'Cash Flow Statement_Actual'!W3*0.003</f>
        <v>0</v>
      </c>
      <c r="X9" s="42">
        <f>'Cash Flow Statement_Actual'!X3*0.003</f>
        <v>0</v>
      </c>
      <c r="Y9" s="42">
        <f>'Cash Flow Statement_Actual'!Y3*0.003</f>
        <v>0</v>
      </c>
      <c r="Z9" s="42">
        <f>'Cash Flow Statement_Actual'!Z3*0.003</f>
        <v>0</v>
      </c>
    </row>
    <row r="10" spans="1:26" x14ac:dyDescent="0.2">
      <c r="A10" s="12" t="s">
        <v>90</v>
      </c>
      <c r="B10" s="42">
        <f>'Debt Schedule_Actual'!B5</f>
        <v>0</v>
      </c>
      <c r="C10" s="42">
        <f>'Debt Schedule_Actual'!C5</f>
        <v>12000</v>
      </c>
      <c r="D10" s="42">
        <f>'Debt Schedule_Actual'!D5</f>
        <v>0</v>
      </c>
      <c r="E10" s="42">
        <f>'Debt Schedule_Actual'!E5</f>
        <v>0</v>
      </c>
      <c r="F10" s="42">
        <f>'Debt Schedule_Actual'!F5</f>
        <v>2000</v>
      </c>
      <c r="G10" s="42">
        <f>'Debt Schedule_Actual'!G5</f>
        <v>24000</v>
      </c>
      <c r="H10" s="42">
        <f>'Debt Schedule_Actual'!H5</f>
        <v>28000</v>
      </c>
      <c r="I10" s="42">
        <f>'Debt Schedule_Actual'!I5</f>
        <v>42000</v>
      </c>
      <c r="J10" s="42">
        <f>'Debt Schedule_Actual'!J5</f>
        <v>42000</v>
      </c>
      <c r="K10" s="42">
        <f>'Debt Schedule_Actual'!K5</f>
        <v>32000</v>
      </c>
      <c r="L10" s="42">
        <f>'Debt Schedule_Actual'!L5</f>
        <v>0</v>
      </c>
      <c r="M10" s="42">
        <f>'Debt Schedule_Actual'!M5</f>
        <v>0</v>
      </c>
      <c r="N10" s="42">
        <f>'Debt Schedule_Actual'!N5</f>
        <v>0</v>
      </c>
      <c r="O10" s="42">
        <v>0</v>
      </c>
      <c r="P10" s="42">
        <f t="shared" ref="P10:Z10" ca="1" si="7">O10*(RAND()*(1.04-1.025)+1.025)</f>
        <v>0</v>
      </c>
      <c r="Q10" s="42">
        <f t="shared" ca="1" si="7"/>
        <v>0</v>
      </c>
      <c r="R10" s="42">
        <f t="shared" ca="1" si="7"/>
        <v>0</v>
      </c>
      <c r="S10" s="42">
        <f t="shared" ca="1" si="7"/>
        <v>0</v>
      </c>
      <c r="T10" s="42">
        <f t="shared" ca="1" si="7"/>
        <v>0</v>
      </c>
      <c r="U10" s="42">
        <f t="shared" ca="1" si="7"/>
        <v>0</v>
      </c>
      <c r="V10" s="42">
        <f t="shared" ca="1" si="7"/>
        <v>0</v>
      </c>
      <c r="W10" s="42">
        <f t="shared" ca="1" si="7"/>
        <v>0</v>
      </c>
      <c r="X10" s="42">
        <f t="shared" ca="1" si="7"/>
        <v>0</v>
      </c>
      <c r="Y10" s="42">
        <f t="shared" ca="1" si="7"/>
        <v>0</v>
      </c>
      <c r="Z10" s="42">
        <f t="shared" ca="1" si="7"/>
        <v>0</v>
      </c>
    </row>
    <row r="11" spans="1:26" x14ac:dyDescent="0.2">
      <c r="A11" s="12" t="s">
        <v>91</v>
      </c>
      <c r="B11" s="42">
        <v>0</v>
      </c>
      <c r="C11" s="42">
        <v>0</v>
      </c>
      <c r="D11" s="42">
        <v>0</v>
      </c>
      <c r="E11" s="42">
        <v>0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">
      <c r="A12" s="12" t="s">
        <v>92</v>
      </c>
      <c r="B12" s="42">
        <f>'Working Capital_Actual'!B4</f>
        <v>54982.535294664027</v>
      </c>
      <c r="C12" s="42">
        <f>'Working Capital_Actual'!C4</f>
        <v>21185.389800667006</v>
      </c>
      <c r="D12" s="42">
        <f>'Working Capital_Actual'!D4</f>
        <v>49077.648605494804</v>
      </c>
      <c r="E12" s="42">
        <f>'Working Capital_Actual'!E4</f>
        <v>6967.9673967445342</v>
      </c>
      <c r="F12" s="42">
        <f>'Working Capital_Actual'!F4</f>
        <v>20990.427847235434</v>
      </c>
      <c r="G12" s="42">
        <f>'Working Capital_Actual'!G4</f>
        <v>34687.193398158517</v>
      </c>
      <c r="H12" s="42">
        <f>'Working Capital_Actual'!H4</f>
        <v>36120.436180166136</v>
      </c>
      <c r="I12" s="42">
        <f>'Working Capital_Actual'!I4</f>
        <v>9803.0302230313246</v>
      </c>
      <c r="J12" s="42">
        <f>'Working Capital_Actual'!J4</f>
        <v>9235</v>
      </c>
      <c r="K12" s="42">
        <f>'Working Capital_Actual'!K4</f>
        <v>10863.810550512382</v>
      </c>
      <c r="L12" s="42">
        <f>'Working Capital_Actual'!L4</f>
        <v>12568</v>
      </c>
      <c r="M12" s="42">
        <f>'Working Capital_Actual'!M4</f>
        <v>11506</v>
      </c>
      <c r="N12" s="42">
        <f>'Working Capital_Actual'!N4</f>
        <v>14111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">
      <c r="A13" s="12" t="s">
        <v>93</v>
      </c>
      <c r="B13" s="42">
        <v>0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">
      <c r="A14" s="12" t="s">
        <v>94</v>
      </c>
      <c r="B14" s="42">
        <f>B10+B12+B13</f>
        <v>54982.535294664027</v>
      </c>
      <c r="C14" s="42">
        <f t="shared" ref="C14:N14" si="8">C10+C12+C13</f>
        <v>33185.389800667006</v>
      </c>
      <c r="D14" s="42">
        <f t="shared" si="8"/>
        <v>49077.648605494804</v>
      </c>
      <c r="E14" s="42">
        <f t="shared" si="8"/>
        <v>6967.9673967445342</v>
      </c>
      <c r="F14" s="42">
        <f t="shared" si="8"/>
        <v>22990.427847235434</v>
      </c>
      <c r="G14" s="42">
        <f t="shared" si="8"/>
        <v>58687.193398158517</v>
      </c>
      <c r="H14" s="42">
        <f t="shared" si="8"/>
        <v>64120.436180166136</v>
      </c>
      <c r="I14" s="42">
        <f t="shared" si="8"/>
        <v>51803.030223031325</v>
      </c>
      <c r="J14" s="42">
        <f t="shared" si="8"/>
        <v>51235</v>
      </c>
      <c r="K14" s="42">
        <f t="shared" si="8"/>
        <v>42863.810550512382</v>
      </c>
      <c r="L14" s="42">
        <f t="shared" si="8"/>
        <v>12568</v>
      </c>
      <c r="M14" s="42">
        <f t="shared" si="8"/>
        <v>11506</v>
      </c>
      <c r="N14" s="42">
        <f t="shared" si="8"/>
        <v>14111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</row>
    <row r="15" spans="1:26" x14ac:dyDescent="0.2">
      <c r="A15" s="12" t="s">
        <v>95</v>
      </c>
      <c r="B15" s="42">
        <v>54982.535294664027</v>
      </c>
      <c r="C15" s="42">
        <v>33185.389800667006</v>
      </c>
      <c r="D15" s="42">
        <v>49077.648605494804</v>
      </c>
      <c r="E15" s="42">
        <v>6967.9673967445342</v>
      </c>
      <c r="F15" s="42">
        <v>22990.427847235434</v>
      </c>
      <c r="G15" s="42">
        <v>58687.193398158517</v>
      </c>
      <c r="H15" s="42">
        <v>64120.436180166136</v>
      </c>
      <c r="I15" s="42">
        <v>51803.030223031325</v>
      </c>
      <c r="J15" s="42">
        <v>51235</v>
      </c>
      <c r="K15" s="42">
        <v>42863.810550512382</v>
      </c>
      <c r="L15" s="42">
        <v>12568</v>
      </c>
      <c r="M15" s="42">
        <v>11506</v>
      </c>
      <c r="N15" s="42">
        <v>14111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">
      <c r="A16" s="12" t="s">
        <v>96</v>
      </c>
      <c r="B16" s="42">
        <v>355000</v>
      </c>
      <c r="C16" s="42">
        <v>355000</v>
      </c>
      <c r="D16" s="42">
        <v>355000</v>
      </c>
      <c r="E16" s="42">
        <v>355000</v>
      </c>
      <c r="F16" s="42">
        <v>355000</v>
      </c>
      <c r="G16" s="42">
        <v>355000</v>
      </c>
      <c r="H16" s="42">
        <v>355000</v>
      </c>
      <c r="I16" s="42">
        <v>355000</v>
      </c>
      <c r="J16" s="42">
        <v>355000</v>
      </c>
      <c r="K16" s="42">
        <v>355000</v>
      </c>
      <c r="L16" s="42">
        <v>355000</v>
      </c>
      <c r="M16" s="42">
        <v>355000</v>
      </c>
      <c r="N16" s="42">
        <v>355000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x14ac:dyDescent="0.3">
      <c r="A3" s="9" t="s">
        <v>11</v>
      </c>
      <c r="B3" s="24">
        <v>183.8424</v>
      </c>
      <c r="C3" s="24">
        <v>503.4</v>
      </c>
      <c r="D3" s="24">
        <v>729.45</v>
      </c>
      <c r="E3" s="24">
        <v>673.54319999999996</v>
      </c>
      <c r="F3" s="24">
        <v>311.33920000000001</v>
      </c>
      <c r="G3" s="24">
        <v>860.1880000000001</v>
      </c>
      <c r="H3" s="24">
        <v>949.59199999999998</v>
      </c>
      <c r="I3" s="24">
        <v>681.23739999999998</v>
      </c>
      <c r="J3" s="24">
        <v>296.10084000000001</v>
      </c>
      <c r="K3" s="24">
        <v>796.38379999999995</v>
      </c>
      <c r="L3" s="24">
        <v>946.65071999999998</v>
      </c>
      <c r="M3" s="24">
        <v>763.44319999999993</v>
      </c>
      <c r="N3" s="24">
        <v>763.44319999999993</v>
      </c>
      <c r="O3" s="48">
        <v>0</v>
      </c>
      <c r="P3" s="48">
        <v>0</v>
      </c>
      <c r="Q3" s="48">
        <v>0</v>
      </c>
      <c r="R3" s="48">
        <v>0</v>
      </c>
      <c r="S3" s="48">
        <v>0</v>
      </c>
      <c r="T3" s="48">
        <v>0</v>
      </c>
      <c r="U3" s="48">
        <v>0</v>
      </c>
      <c r="V3" s="48">
        <v>0</v>
      </c>
      <c r="W3" s="48">
        <v>0</v>
      </c>
      <c r="X3" s="48">
        <v>0</v>
      </c>
      <c r="Y3" s="48">
        <v>0</v>
      </c>
      <c r="Z3" s="48">
        <v>0</v>
      </c>
    </row>
    <row r="4" spans="1:26" x14ac:dyDescent="0.3">
      <c r="A4" s="9" t="s">
        <v>12</v>
      </c>
      <c r="B4" s="35">
        <v>72.14</v>
      </c>
      <c r="C4" s="35">
        <v>72.459999999999994</v>
      </c>
      <c r="D4" s="92">
        <v>73.099999999999994</v>
      </c>
      <c r="E4" s="35">
        <v>73.59</v>
      </c>
      <c r="F4" s="67">
        <v>73.8</v>
      </c>
      <c r="G4" s="35">
        <v>74.5</v>
      </c>
      <c r="H4" s="35">
        <v>75.099999999999994</v>
      </c>
      <c r="I4" s="35">
        <v>76.8</v>
      </c>
      <c r="J4" s="35">
        <v>76.7</v>
      </c>
      <c r="K4" s="35">
        <v>77.3</v>
      </c>
      <c r="L4" s="50">
        <v>83.4</v>
      </c>
      <c r="M4" s="50">
        <v>83.6</v>
      </c>
      <c r="N4" s="50">
        <v>84.5</v>
      </c>
      <c r="O4" s="48">
        <v>0</v>
      </c>
      <c r="P4" s="48">
        <v>0</v>
      </c>
      <c r="Q4" s="48">
        <v>0</v>
      </c>
      <c r="R4" s="48">
        <v>0</v>
      </c>
      <c r="S4" s="48">
        <v>0</v>
      </c>
      <c r="T4" s="48">
        <v>0</v>
      </c>
      <c r="U4" s="48">
        <v>0</v>
      </c>
      <c r="V4" s="48">
        <v>0</v>
      </c>
      <c r="W4" s="48">
        <v>0</v>
      </c>
      <c r="X4" s="48">
        <v>0</v>
      </c>
      <c r="Y4" s="48">
        <v>0</v>
      </c>
      <c r="Z4" s="48">
        <v>0</v>
      </c>
    </row>
    <row r="5" spans="1:26" x14ac:dyDescent="0.3">
      <c r="A5" s="9" t="s">
        <v>13</v>
      </c>
      <c r="B5" s="24">
        <f t="shared" ref="B5:N5" si="0">B3*B4</f>
        <v>13262.390735999999</v>
      </c>
      <c r="C5" s="24">
        <f t="shared" si="0"/>
        <v>36476.363999999994</v>
      </c>
      <c r="D5" s="24">
        <f t="shared" si="0"/>
        <v>53322.794999999998</v>
      </c>
      <c r="E5" s="24">
        <f t="shared" si="0"/>
        <v>49566.044088000002</v>
      </c>
      <c r="F5" s="24">
        <f t="shared" si="0"/>
        <v>22976.83296</v>
      </c>
      <c r="G5" s="24">
        <f t="shared" si="0"/>
        <v>64084.006000000008</v>
      </c>
      <c r="H5" s="24">
        <f t="shared" si="0"/>
        <v>71314.359199999992</v>
      </c>
      <c r="I5" s="24">
        <f t="shared" si="0"/>
        <v>52319.032319999998</v>
      </c>
      <c r="J5" s="24">
        <f t="shared" si="0"/>
        <v>22710.934428</v>
      </c>
      <c r="K5" s="24">
        <f t="shared" si="0"/>
        <v>61560.467739999993</v>
      </c>
      <c r="L5" s="24">
        <f t="shared" si="0"/>
        <v>78950.670048</v>
      </c>
      <c r="M5" s="24">
        <f t="shared" si="0"/>
        <v>63823.851519999989</v>
      </c>
      <c r="N5" s="24">
        <f t="shared" si="0"/>
        <v>64510.950399999994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48">
        <v>0</v>
      </c>
      <c r="Z5" s="48">
        <v>0</v>
      </c>
    </row>
    <row r="6" spans="1:26" x14ac:dyDescent="0.3">
      <c r="A6" s="27" t="s">
        <v>3</v>
      </c>
      <c r="B6" s="68"/>
      <c r="C6" s="69"/>
      <c r="D6" s="69"/>
      <c r="E6" s="69"/>
      <c r="F6" s="69"/>
      <c r="G6" s="70"/>
      <c r="H6" s="70"/>
      <c r="I6" s="70"/>
      <c r="J6" s="70"/>
      <c r="K6" s="70"/>
      <c r="L6" s="70"/>
      <c r="M6" s="70"/>
      <c r="N6" s="71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</row>
    <row r="7" spans="1:26" x14ac:dyDescent="0.3">
      <c r="A7" s="9" t="s">
        <v>11</v>
      </c>
      <c r="B7" s="24">
        <v>36.803199999999997</v>
      </c>
      <c r="C7" s="24">
        <v>195.12268</v>
      </c>
      <c r="D7" s="24">
        <v>243.72448</v>
      </c>
      <c r="E7" s="24">
        <v>145.018</v>
      </c>
      <c r="F7" s="24">
        <v>60.945999999999998</v>
      </c>
      <c r="G7" s="24">
        <v>122.01600000000001</v>
      </c>
      <c r="H7" s="24">
        <v>199.76399999999998</v>
      </c>
      <c r="I7" s="24">
        <v>107.13600000000001</v>
      </c>
      <c r="J7" s="24">
        <v>88.847239999999999</v>
      </c>
      <c r="K7" s="24">
        <v>175.64475999999999</v>
      </c>
      <c r="L7" s="24">
        <v>200.21163999999999</v>
      </c>
      <c r="M7" s="24">
        <v>105.87740000000001</v>
      </c>
      <c r="N7" s="24"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48">
        <v>0</v>
      </c>
      <c r="Z7" s="48">
        <v>0</v>
      </c>
    </row>
    <row r="8" spans="1:26" x14ac:dyDescent="0.3">
      <c r="A8" s="9" t="s">
        <v>12</v>
      </c>
      <c r="B8" s="35">
        <v>209.65273316437106</v>
      </c>
      <c r="C8" s="35">
        <v>211.45</v>
      </c>
      <c r="D8" s="35">
        <v>216.4</v>
      </c>
      <c r="E8" s="35">
        <v>224.01111586147923</v>
      </c>
      <c r="F8" s="67">
        <v>230.12207527975588</v>
      </c>
      <c r="G8" s="35">
        <v>236.4</v>
      </c>
      <c r="H8" s="35">
        <v>237.1</v>
      </c>
      <c r="I8" s="35">
        <v>238.4</v>
      </c>
      <c r="J8" s="35">
        <v>227.02777777777777</v>
      </c>
      <c r="K8" s="35">
        <v>238.12</v>
      </c>
      <c r="L8" s="50">
        <v>242.4</v>
      </c>
      <c r="M8" s="50">
        <v>235.45376282817523</v>
      </c>
      <c r="N8" s="50">
        <v>235.89272120395853</v>
      </c>
      <c r="O8" s="48">
        <v>0</v>
      </c>
      <c r="P8" s="48">
        <v>0</v>
      </c>
      <c r="Q8" s="48">
        <v>0</v>
      </c>
      <c r="R8" s="48">
        <v>0</v>
      </c>
      <c r="S8" s="48">
        <v>0</v>
      </c>
      <c r="T8" s="48">
        <v>0</v>
      </c>
      <c r="U8" s="48">
        <v>0</v>
      </c>
      <c r="V8" s="48">
        <v>0</v>
      </c>
      <c r="W8" s="48">
        <v>0</v>
      </c>
      <c r="X8" s="48">
        <v>0</v>
      </c>
      <c r="Y8" s="48">
        <v>0</v>
      </c>
      <c r="Z8" s="48">
        <v>0</v>
      </c>
    </row>
    <row r="9" spans="1:26" x14ac:dyDescent="0.3">
      <c r="A9" s="9" t="s">
        <v>13</v>
      </c>
      <c r="B9" s="24">
        <f>B7*B8</f>
        <v>7715.8914691949803</v>
      </c>
      <c r="C9" s="24">
        <f t="shared" ref="C9:N9" si="1">C7*C8</f>
        <v>41258.690686000002</v>
      </c>
      <c r="D9" s="24">
        <f t="shared" si="1"/>
        <v>52741.977471999999</v>
      </c>
      <c r="E9" s="24">
        <f t="shared" si="1"/>
        <v>32485.643999999993</v>
      </c>
      <c r="F9" s="24">
        <f t="shared" si="1"/>
        <v>14025.02</v>
      </c>
      <c r="G9" s="24">
        <f t="shared" si="1"/>
        <v>28844.582400000003</v>
      </c>
      <c r="H9" s="24">
        <f t="shared" si="1"/>
        <v>47364.044399999992</v>
      </c>
      <c r="I9" s="24">
        <f t="shared" si="1"/>
        <v>25541.222400000002</v>
      </c>
      <c r="J9" s="24">
        <f t="shared" si="1"/>
        <v>20170.791458888889</v>
      </c>
      <c r="K9" s="24">
        <f t="shared" si="1"/>
        <v>41824.530251199998</v>
      </c>
      <c r="L9" s="24">
        <f t="shared" si="1"/>
        <v>48531.301535999999</v>
      </c>
      <c r="M9" s="24">
        <f t="shared" si="1"/>
        <v>24929.232228463843</v>
      </c>
      <c r="N9" s="24">
        <f t="shared" si="1"/>
        <v>24975.708000000002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48">
        <v>0</v>
      </c>
      <c r="Z9" s="48">
        <v>0</v>
      </c>
    </row>
    <row r="10" spans="1:26" x14ac:dyDescent="0.3">
      <c r="A10" s="27" t="s">
        <v>4</v>
      </c>
      <c r="B10" s="68"/>
      <c r="C10" s="69"/>
      <c r="D10" s="69"/>
      <c r="E10" s="69"/>
      <c r="F10" s="69"/>
      <c r="G10" s="70"/>
      <c r="H10" s="70"/>
      <c r="I10" s="70"/>
      <c r="J10" s="70"/>
      <c r="K10" s="70"/>
      <c r="L10" s="70"/>
      <c r="M10" s="70"/>
      <c r="N10" s="71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</row>
    <row r="11" spans="1:26" x14ac:dyDescent="0.3">
      <c r="A11" s="9" t="s">
        <v>11</v>
      </c>
      <c r="B11" s="24">
        <v>6174.1336000000001</v>
      </c>
      <c r="C11" s="24">
        <v>9363.6764800000001</v>
      </c>
      <c r="D11" s="24">
        <v>11737.269600000001</v>
      </c>
      <c r="E11" s="24">
        <v>9610.2232000000004</v>
      </c>
      <c r="F11" s="24">
        <v>13343.795</v>
      </c>
      <c r="G11" s="24">
        <v>9992.9194399999997</v>
      </c>
      <c r="H11" s="24">
        <v>8709.4177599999985</v>
      </c>
      <c r="I11" s="24">
        <v>9558.6578000000009</v>
      </c>
      <c r="J11" s="24">
        <v>6465.1801999999998</v>
      </c>
      <c r="K11" s="24">
        <v>9626.11132</v>
      </c>
      <c r="L11" s="24">
        <v>11881.177799999998</v>
      </c>
      <c r="M11" s="24">
        <v>7827.8087599999999</v>
      </c>
      <c r="N11" s="24"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48">
        <v>0</v>
      </c>
      <c r="Z11" s="48">
        <v>0</v>
      </c>
    </row>
    <row r="12" spans="1:26" x14ac:dyDescent="0.3">
      <c r="A12" s="9" t="s">
        <v>12</v>
      </c>
      <c r="B12" s="35">
        <v>14.811033567527597</v>
      </c>
      <c r="C12" s="35">
        <v>15.547899407989798</v>
      </c>
      <c r="D12" s="35">
        <v>15.804016293533888</v>
      </c>
      <c r="E12" s="35">
        <v>14.295890651114119</v>
      </c>
      <c r="F12" s="35">
        <v>11.367838010101325</v>
      </c>
      <c r="G12" s="35">
        <v>16.024906531218871</v>
      </c>
      <c r="H12" s="35">
        <v>19.080322540412855</v>
      </c>
      <c r="I12" s="35">
        <v>16.900393902583268</v>
      </c>
      <c r="J12" s="35">
        <v>20.956488439203252</v>
      </c>
      <c r="K12" s="35">
        <v>15.888515405201026</v>
      </c>
      <c r="L12" s="35">
        <v>19.701759102449273</v>
      </c>
      <c r="M12" s="35">
        <v>20.00059489051667</v>
      </c>
      <c r="N12" s="50">
        <v>15.966256181250907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8">
        <v>0</v>
      </c>
      <c r="X12" s="48">
        <v>0</v>
      </c>
      <c r="Y12" s="48">
        <v>0</v>
      </c>
      <c r="Z12" s="48">
        <v>0</v>
      </c>
    </row>
    <row r="13" spans="1:26" x14ac:dyDescent="0.3">
      <c r="A13" s="9" t="s">
        <v>13</v>
      </c>
      <c r="B13" s="72">
        <f>B11*B12</f>
        <v>91445.3</v>
      </c>
      <c r="C13" s="72">
        <f t="shared" ref="C13:N13" si="2">C11*C12</f>
        <v>145585.5</v>
      </c>
      <c r="D13" s="72">
        <f t="shared" si="2"/>
        <v>185496</v>
      </c>
      <c r="E13" s="72">
        <f t="shared" si="2"/>
        <v>137386.70000000001</v>
      </c>
      <c r="F13" s="72">
        <f t="shared" si="2"/>
        <v>151690.1</v>
      </c>
      <c r="G13" s="72">
        <f t="shared" si="2"/>
        <v>160135.6</v>
      </c>
      <c r="H13" s="72">
        <f t="shared" si="2"/>
        <v>166178.5</v>
      </c>
      <c r="I13" s="72">
        <f t="shared" si="2"/>
        <v>161545.08199999999</v>
      </c>
      <c r="J13" s="72">
        <f t="shared" si="2"/>
        <v>135487.47411866576</v>
      </c>
      <c r="K13" s="72">
        <f t="shared" si="2"/>
        <v>152944.61799999999</v>
      </c>
      <c r="L13" s="72">
        <f t="shared" si="2"/>
        <v>234080.10286896818</v>
      </c>
      <c r="M13" s="72">
        <f t="shared" si="2"/>
        <v>156560.83188919764</v>
      </c>
      <c r="N13" s="72">
        <f t="shared" si="2"/>
        <v>124980.8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48">
        <v>0</v>
      </c>
      <c r="Z13" s="48">
        <v>0</v>
      </c>
    </row>
    <row r="14" spans="1:26" x14ac:dyDescent="0.3">
      <c r="A14" s="27" t="s">
        <v>5</v>
      </c>
      <c r="B14" s="68"/>
      <c r="C14" s="69"/>
      <c r="D14" s="69"/>
      <c r="E14" s="69"/>
      <c r="F14" s="69"/>
      <c r="G14" s="70"/>
      <c r="H14" s="70"/>
      <c r="I14" s="70"/>
      <c r="J14" s="70"/>
      <c r="K14" s="70"/>
      <c r="L14" s="70"/>
      <c r="M14" s="70"/>
      <c r="N14" s="71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231.88</v>
      </c>
      <c r="I15" s="24">
        <v>107.88</v>
      </c>
      <c r="J15" s="24">
        <v>149.56631999999999</v>
      </c>
      <c r="K15" s="24">
        <v>1039.48828</v>
      </c>
      <c r="L15" s="24">
        <v>508.64799999999997</v>
      </c>
      <c r="M15" s="24">
        <v>136.59344000000002</v>
      </c>
      <c r="N15" s="24"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</row>
    <row r="16" spans="1:26" x14ac:dyDescent="0.3">
      <c r="A16" s="9" t="s">
        <v>12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43">
        <v>0</v>
      </c>
      <c r="I16" s="52">
        <v>10.988505747126437</v>
      </c>
      <c r="J16" s="52">
        <v>10.988505747126437</v>
      </c>
      <c r="K16" s="51">
        <v>14.038883593762115</v>
      </c>
      <c r="L16" s="50">
        <v>14.038883593762115</v>
      </c>
      <c r="M16" s="50">
        <v>17.968551925889809</v>
      </c>
      <c r="N16" s="50">
        <v>22.143142452521875</v>
      </c>
      <c r="O16" s="48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48">
        <v>0</v>
      </c>
      <c r="Z16" s="48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N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si="3"/>
        <v>0</v>
      </c>
      <c r="I17" s="24">
        <f t="shared" si="3"/>
        <v>1185.44</v>
      </c>
      <c r="J17" s="24">
        <f t="shared" si="3"/>
        <v>1643.5103668965517</v>
      </c>
      <c r="K17" s="24">
        <f t="shared" si="3"/>
        <v>14593.25496</v>
      </c>
      <c r="L17" s="24">
        <f t="shared" si="3"/>
        <v>7140.8500621999119</v>
      </c>
      <c r="M17" s="24">
        <f t="shared" si="3"/>
        <v>2454.3863193759144</v>
      </c>
      <c r="N17" s="24">
        <f t="shared" si="3"/>
        <v>3024.6079999999997</v>
      </c>
      <c r="O17" s="48">
        <f t="shared" ref="O17:Z17" si="4">O15*O16</f>
        <v>0</v>
      </c>
      <c r="P17" s="48">
        <f t="shared" si="4"/>
        <v>0</v>
      </c>
      <c r="Q17" s="48">
        <f t="shared" si="4"/>
        <v>0</v>
      </c>
      <c r="R17" s="48">
        <f t="shared" si="4"/>
        <v>0</v>
      </c>
      <c r="S17" s="48">
        <f t="shared" si="4"/>
        <v>0</v>
      </c>
      <c r="T17" s="48">
        <f t="shared" si="4"/>
        <v>0</v>
      </c>
      <c r="U17" s="48">
        <f t="shared" si="4"/>
        <v>0</v>
      </c>
      <c r="V17" s="48">
        <f t="shared" si="4"/>
        <v>0</v>
      </c>
      <c r="W17" s="48">
        <f t="shared" si="4"/>
        <v>0</v>
      </c>
      <c r="X17" s="48">
        <f t="shared" si="4"/>
        <v>0</v>
      </c>
      <c r="Y17" s="48">
        <f t="shared" si="4"/>
        <v>0</v>
      </c>
      <c r="Z17" s="48">
        <f t="shared" si="4"/>
        <v>0</v>
      </c>
    </row>
    <row r="18" spans="1:26" x14ac:dyDescent="0.3">
      <c r="A18" s="27" t="s">
        <v>6</v>
      </c>
      <c r="B18" s="68"/>
      <c r="C18" s="69"/>
      <c r="D18" s="69"/>
      <c r="E18" s="69"/>
      <c r="F18" s="69"/>
      <c r="G18" s="70"/>
      <c r="H18" s="70"/>
      <c r="I18" s="70"/>
      <c r="J18" s="70"/>
      <c r="K18" s="70"/>
      <c r="L18" s="70"/>
      <c r="M18" s="70"/>
      <c r="N18" s="71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</row>
    <row r="19" spans="1:26" x14ac:dyDescent="0.3">
      <c r="A19" s="9" t="s">
        <v>14</v>
      </c>
      <c r="B19" s="24">
        <v>206.19091999999998</v>
      </c>
      <c r="C19" s="24">
        <v>151.85411999999999</v>
      </c>
      <c r="D19" s="24">
        <v>172.01528000000002</v>
      </c>
      <c r="E19" s="24">
        <v>258.8252</v>
      </c>
      <c r="F19" s="24">
        <v>268.88159999999999</v>
      </c>
      <c r="G19" s="24">
        <v>262.75600000000003</v>
      </c>
      <c r="H19" s="24">
        <v>144.83199999999999</v>
      </c>
      <c r="I19" s="24">
        <v>229.77200000000002</v>
      </c>
      <c r="J19" s="24">
        <v>142.72399999999999</v>
      </c>
      <c r="K19" s="24">
        <v>174.19048800000002</v>
      </c>
      <c r="L19" s="24">
        <v>154.32916</v>
      </c>
      <c r="M19" s="24">
        <v>71.433920000000001</v>
      </c>
      <c r="N19" s="24"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48">
        <v>0</v>
      </c>
      <c r="Z19" s="48">
        <v>0</v>
      </c>
    </row>
    <row r="20" spans="1:26" x14ac:dyDescent="0.3">
      <c r="A20" s="9" t="s">
        <v>12</v>
      </c>
      <c r="B20" s="35">
        <v>76.611559810684199</v>
      </c>
      <c r="C20" s="35">
        <v>65.65084964438239</v>
      </c>
      <c r="D20" s="35">
        <v>63.27907613788728</v>
      </c>
      <c r="E20" s="35">
        <v>58.675322186556791</v>
      </c>
      <c r="F20" s="35">
        <v>50.428426489577568</v>
      </c>
      <c r="G20" s="35">
        <v>58.14157621519584</v>
      </c>
      <c r="H20" s="35">
        <v>63.706335616438359</v>
      </c>
      <c r="I20" s="35">
        <v>64.951359956826764</v>
      </c>
      <c r="J20" s="35">
        <v>64.951359956826764</v>
      </c>
      <c r="K20" s="35">
        <v>66.137893821159722</v>
      </c>
      <c r="L20" s="50">
        <v>66.137893821159736</v>
      </c>
      <c r="M20" s="50">
        <v>67.577274443792717</v>
      </c>
      <c r="N20" s="50">
        <v>61.543535620052772</v>
      </c>
      <c r="O20" s="48">
        <v>0</v>
      </c>
      <c r="P20" s="48">
        <v>0</v>
      </c>
      <c r="Q20" s="48">
        <v>0</v>
      </c>
      <c r="R20" s="48">
        <v>0</v>
      </c>
      <c r="S20" s="48">
        <v>0</v>
      </c>
      <c r="T20" s="48">
        <v>0</v>
      </c>
      <c r="U20" s="48">
        <v>0</v>
      </c>
      <c r="V20" s="48">
        <v>0</v>
      </c>
      <c r="W20" s="48">
        <v>0</v>
      </c>
      <c r="X20" s="48">
        <v>0</v>
      </c>
      <c r="Y20" s="48">
        <v>0</v>
      </c>
      <c r="Z20" s="48">
        <v>0</v>
      </c>
    </row>
    <row r="21" spans="1:26" x14ac:dyDescent="0.3">
      <c r="A21" s="9" t="s">
        <v>13</v>
      </c>
      <c r="B21" s="24">
        <f>B19*B20</f>
        <v>15796.607999999998</v>
      </c>
      <c r="C21" s="24">
        <f t="shared" ref="C21:N21" si="5">C19*C20</f>
        <v>9969.3520000000008</v>
      </c>
      <c r="D21" s="24">
        <f t="shared" si="5"/>
        <v>10884.968000000001</v>
      </c>
      <c r="E21" s="24">
        <f t="shared" si="5"/>
        <v>15186.651999999998</v>
      </c>
      <c r="F21" s="24">
        <f t="shared" si="5"/>
        <v>13559.276</v>
      </c>
      <c r="G21" s="24">
        <f t="shared" si="5"/>
        <v>15277.048000000001</v>
      </c>
      <c r="H21" s="24">
        <f t="shared" si="5"/>
        <v>9226.7160000000003</v>
      </c>
      <c r="I21" s="24">
        <f t="shared" si="5"/>
        <v>14924.00388</v>
      </c>
      <c r="J21" s="24">
        <f t="shared" si="5"/>
        <v>9270.1178984781418</v>
      </c>
      <c r="K21" s="24">
        <f t="shared" si="5"/>
        <v>11520.591999999997</v>
      </c>
      <c r="L21" s="24">
        <f t="shared" si="5"/>
        <v>10207.005597588772</v>
      </c>
      <c r="M21" s="24">
        <f t="shared" si="5"/>
        <v>4827.3096164359331</v>
      </c>
      <c r="N21" s="24">
        <f t="shared" si="5"/>
        <v>4396.2960000000003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3"/>
      <c r="C22" s="69"/>
      <c r="D22" s="69"/>
      <c r="E22" s="69"/>
      <c r="F22" s="69"/>
      <c r="G22" s="70"/>
      <c r="H22" s="70"/>
      <c r="I22" s="70"/>
      <c r="J22" s="70"/>
      <c r="K22" s="70"/>
      <c r="L22" s="70"/>
      <c r="M22" s="70"/>
      <c r="N22" s="7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 spans="1:26" x14ac:dyDescent="0.3">
      <c r="A23" s="9" t="s">
        <v>14</v>
      </c>
      <c r="B23" s="24">
        <v>134.99880000000002</v>
      </c>
      <c r="C23" s="24">
        <v>184.84432000000001</v>
      </c>
      <c r="D23" s="24">
        <v>256.45060000000001</v>
      </c>
      <c r="E23" s="24">
        <v>229.15200000000002</v>
      </c>
      <c r="F23" s="24">
        <v>276.75560000000002</v>
      </c>
      <c r="G23" s="24">
        <v>196.61439999999999</v>
      </c>
      <c r="H23" s="24">
        <v>244.77600000000001</v>
      </c>
      <c r="I23" s="24">
        <v>140.36799999999999</v>
      </c>
      <c r="J23" s="24">
        <v>160.33200000000002</v>
      </c>
      <c r="K23" s="24">
        <v>209.11359999999999</v>
      </c>
      <c r="L23" s="24">
        <v>79.731999999999999</v>
      </c>
      <c r="M23" s="24">
        <v>136.648</v>
      </c>
      <c r="N23" s="24"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</row>
    <row r="24" spans="1:26" x14ac:dyDescent="0.3">
      <c r="A24" s="9" t="s">
        <v>12</v>
      </c>
      <c r="B24" s="36">
        <v>36.973454578855517</v>
      </c>
      <c r="C24" s="36">
        <v>38.149703491024226</v>
      </c>
      <c r="D24" s="36">
        <v>37.770471194062324</v>
      </c>
      <c r="E24" s="36">
        <v>38.731601731601735</v>
      </c>
      <c r="F24" s="36">
        <v>28.850306913392178</v>
      </c>
      <c r="G24" s="36">
        <v>38.659813319878907</v>
      </c>
      <c r="H24" s="36">
        <v>42.153495440729486</v>
      </c>
      <c r="I24" s="36">
        <v>38.990282685512362</v>
      </c>
      <c r="J24" s="36">
        <v>38.990282685512369</v>
      </c>
      <c r="K24" s="36">
        <v>38.261978178368125</v>
      </c>
      <c r="L24" s="50">
        <v>38.261978178368125</v>
      </c>
      <c r="M24" s="50">
        <v>36.363919129082426</v>
      </c>
      <c r="N24" s="50">
        <v>42.317604355716874</v>
      </c>
      <c r="O24" s="48">
        <v>0</v>
      </c>
      <c r="P24" s="48">
        <v>0</v>
      </c>
      <c r="Q24" s="48">
        <v>0</v>
      </c>
      <c r="R24" s="48">
        <v>0</v>
      </c>
      <c r="S24" s="48">
        <v>0</v>
      </c>
      <c r="T24" s="48">
        <v>0</v>
      </c>
      <c r="U24" s="48">
        <v>0</v>
      </c>
      <c r="V24" s="48">
        <v>0</v>
      </c>
      <c r="W24" s="48">
        <v>0</v>
      </c>
      <c r="X24" s="48">
        <v>0</v>
      </c>
      <c r="Y24" s="48">
        <v>0</v>
      </c>
      <c r="Z24" s="48">
        <v>0</v>
      </c>
    </row>
    <row r="25" spans="1:26" x14ac:dyDescent="0.3">
      <c r="A25" s="9" t="s">
        <v>13</v>
      </c>
      <c r="B25" s="24">
        <f>B23*B24</f>
        <v>4991.3720000000012</v>
      </c>
      <c r="C25" s="24">
        <f t="shared" ref="C25:N25" si="6">C23*C24</f>
        <v>7051.7559999999994</v>
      </c>
      <c r="D25" s="24">
        <f t="shared" si="6"/>
        <v>9686.26</v>
      </c>
      <c r="E25" s="24">
        <f t="shared" si="6"/>
        <v>8875.4240000000009</v>
      </c>
      <c r="F25" s="24">
        <f t="shared" si="6"/>
        <v>7984.4840000000004</v>
      </c>
      <c r="G25" s="24">
        <f t="shared" si="6"/>
        <v>7601.0759999999991</v>
      </c>
      <c r="H25" s="24">
        <f t="shared" si="6"/>
        <v>10318.164000000001</v>
      </c>
      <c r="I25" s="24">
        <f t="shared" si="6"/>
        <v>5472.9879999999994</v>
      </c>
      <c r="J25" s="24">
        <f t="shared" si="6"/>
        <v>6251.3900035335701</v>
      </c>
      <c r="K25" s="24">
        <f t="shared" si="6"/>
        <v>8001.1</v>
      </c>
      <c r="L25" s="24">
        <f t="shared" si="6"/>
        <v>3050.7040441176473</v>
      </c>
      <c r="M25" s="24">
        <f t="shared" si="6"/>
        <v>4969.0568211508553</v>
      </c>
      <c r="N25" s="24">
        <f t="shared" si="6"/>
        <v>5782.6159999999991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48">
        <v>0</v>
      </c>
      <c r="Z25" s="48">
        <v>0</v>
      </c>
    </row>
    <row r="26" spans="1:26" x14ac:dyDescent="0.3">
      <c r="A26" s="27" t="s">
        <v>8</v>
      </c>
      <c r="B26" s="73"/>
      <c r="C26" s="73"/>
      <c r="D26" s="73"/>
      <c r="E26" s="73"/>
      <c r="F26" s="73"/>
      <c r="G26" s="70"/>
      <c r="H26" s="70"/>
      <c r="I26" s="70"/>
      <c r="J26" s="70"/>
      <c r="K26" s="70"/>
      <c r="L26" s="70"/>
      <c r="M26" s="70"/>
      <c r="N26" s="71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</row>
    <row r="27" spans="1:26" x14ac:dyDescent="0.3">
      <c r="A27" s="9" t="s">
        <v>11</v>
      </c>
      <c r="B27" s="72">
        <v>0</v>
      </c>
      <c r="C27" s="24">
        <v>1.1903999999999999</v>
      </c>
      <c r="D27" s="24">
        <v>150.16399999999999</v>
      </c>
      <c r="E27" s="24">
        <v>89.70532</v>
      </c>
      <c r="F27" s="24">
        <v>82.112799999999993</v>
      </c>
      <c r="G27" s="24">
        <v>325.87200000000001</v>
      </c>
      <c r="H27" s="24">
        <v>399.34199999999993</v>
      </c>
      <c r="I27" s="24">
        <v>484.71599999999995</v>
      </c>
      <c r="J27" s="24">
        <v>261.9128</v>
      </c>
      <c r="K27" s="24">
        <v>648.07359999999994</v>
      </c>
      <c r="L27" s="24">
        <v>848.30880000000002</v>
      </c>
      <c r="M27" s="24">
        <v>727.88</v>
      </c>
      <c r="N27" s="24"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</row>
    <row r="28" spans="1:26" x14ac:dyDescent="0.3">
      <c r="A28" s="9" t="s">
        <v>12</v>
      </c>
      <c r="B28" s="44">
        <v>0</v>
      </c>
      <c r="C28" s="44">
        <v>25</v>
      </c>
      <c r="D28" s="44">
        <v>27.275805119735757</v>
      </c>
      <c r="E28" s="44">
        <v>61.79174211741288</v>
      </c>
      <c r="F28" s="44">
        <v>35.726366656599218</v>
      </c>
      <c r="G28" s="44">
        <v>25.309741248097406</v>
      </c>
      <c r="H28" s="44">
        <v>24.272628473839472</v>
      </c>
      <c r="I28" s="44">
        <v>24.056536198516252</v>
      </c>
      <c r="J28" s="44">
        <v>24.056536198516248</v>
      </c>
      <c r="K28" s="44">
        <v>24.175149242308287</v>
      </c>
      <c r="L28" s="50">
        <v>24.175149242308283</v>
      </c>
      <c r="M28" s="50">
        <v>23.175758638835291</v>
      </c>
      <c r="N28" s="50">
        <v>25.617035775127768</v>
      </c>
      <c r="O28" s="48">
        <v>0</v>
      </c>
      <c r="P28" s="48">
        <v>0</v>
      </c>
      <c r="Q28" s="48">
        <v>0</v>
      </c>
      <c r="R28" s="48">
        <v>0</v>
      </c>
      <c r="S28" s="48">
        <v>0</v>
      </c>
      <c r="T28" s="48">
        <v>0</v>
      </c>
      <c r="U28" s="48">
        <v>0</v>
      </c>
      <c r="V28" s="48">
        <v>0</v>
      </c>
      <c r="W28" s="48">
        <v>0</v>
      </c>
      <c r="X28" s="48">
        <v>0</v>
      </c>
      <c r="Y28" s="48">
        <v>0</v>
      </c>
      <c r="Z28" s="48">
        <v>0</v>
      </c>
    </row>
    <row r="29" spans="1:26" x14ac:dyDescent="0.3">
      <c r="A29" s="9" t="s">
        <v>13</v>
      </c>
      <c r="B29" s="72">
        <f>B27*B28</f>
        <v>0</v>
      </c>
      <c r="C29" s="72">
        <f t="shared" ref="C29:N29" si="7">C27*C28</f>
        <v>29.759999999999998</v>
      </c>
      <c r="D29" s="72">
        <f t="shared" si="7"/>
        <v>4095.8440000000001</v>
      </c>
      <c r="E29" s="72">
        <f t="shared" si="7"/>
        <v>5543.0479999999998</v>
      </c>
      <c r="F29" s="72">
        <f t="shared" si="7"/>
        <v>2933.5920000000001</v>
      </c>
      <c r="G29" s="72">
        <f t="shared" si="7"/>
        <v>8247.735999999999</v>
      </c>
      <c r="H29" s="72">
        <f t="shared" si="7"/>
        <v>9693.08</v>
      </c>
      <c r="I29" s="72">
        <f t="shared" si="7"/>
        <v>11660.588000000002</v>
      </c>
      <c r="J29" s="72">
        <f t="shared" si="7"/>
        <v>6300.7147540547467</v>
      </c>
      <c r="K29" s="72">
        <f t="shared" si="7"/>
        <v>15667.276000000002</v>
      </c>
      <c r="L29" s="72">
        <f t="shared" si="7"/>
        <v>20507.99184356345</v>
      </c>
      <c r="M29" s="72">
        <f t="shared" si="7"/>
        <v>16869.17119803543</v>
      </c>
      <c r="N29" s="72">
        <f t="shared" si="7"/>
        <v>18646.128000000001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48">
        <v>0</v>
      </c>
      <c r="Z29" s="48">
        <v>0</v>
      </c>
    </row>
    <row r="30" spans="1:26" x14ac:dyDescent="0.3">
      <c r="A30" s="27" t="s">
        <v>9</v>
      </c>
      <c r="B30" s="68"/>
      <c r="C30" s="69"/>
      <c r="D30" s="69"/>
      <c r="E30" s="69"/>
      <c r="F30" s="69"/>
      <c r="G30" s="70"/>
      <c r="H30" s="70"/>
      <c r="I30" s="70"/>
      <c r="J30" s="70"/>
      <c r="K30" s="74"/>
      <c r="L30" s="53"/>
      <c r="M30" s="53"/>
      <c r="N30" s="71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</row>
    <row r="31" spans="1:26" x14ac:dyDescent="0.3">
      <c r="A31" s="9" t="s">
        <v>14</v>
      </c>
      <c r="B31" s="24">
        <v>30.108439999999998</v>
      </c>
      <c r="C31" s="24">
        <v>0</v>
      </c>
      <c r="D31" s="24">
        <v>21.781839999999999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282.69148000000001</v>
      </c>
      <c r="L31" s="24">
        <v>574.88508000000002</v>
      </c>
      <c r="M31" s="24">
        <v>174.42583999999999</v>
      </c>
      <c r="N31" s="24"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48">
        <v>0</v>
      </c>
      <c r="Z31" s="48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35.397927815097347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53.057545278690398</v>
      </c>
      <c r="L32" s="20">
        <v>51.84883211789041</v>
      </c>
      <c r="M32" s="20">
        <v>47.114441300669668</v>
      </c>
      <c r="N32" s="20">
        <v>47.114441300669668</v>
      </c>
      <c r="O32" s="48">
        <v>0</v>
      </c>
      <c r="P32" s="48">
        <v>0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</v>
      </c>
      <c r="X32" s="48">
        <v>0</v>
      </c>
      <c r="Y32" s="48">
        <v>0</v>
      </c>
      <c r="Z32" s="48">
        <v>0</v>
      </c>
    </row>
    <row r="33" spans="1:26" x14ac:dyDescent="0.3">
      <c r="A33" s="9" t="s">
        <v>13</v>
      </c>
      <c r="B33" s="24">
        <f>B31*B32</f>
        <v>1445.28</v>
      </c>
      <c r="C33" s="24">
        <f t="shared" ref="C33:N33" si="8">C31*C32</f>
        <v>0</v>
      </c>
      <c r="D33" s="24">
        <f t="shared" si="8"/>
        <v>771.03199999999993</v>
      </c>
      <c r="E33" s="24">
        <f t="shared" si="8"/>
        <v>0</v>
      </c>
      <c r="F33" s="24">
        <f t="shared" si="8"/>
        <v>0</v>
      </c>
      <c r="G33" s="24">
        <f t="shared" si="8"/>
        <v>0</v>
      </c>
      <c r="H33" s="24">
        <f t="shared" si="8"/>
        <v>0</v>
      </c>
      <c r="I33" s="24">
        <f t="shared" si="8"/>
        <v>0</v>
      </c>
      <c r="J33" s="24">
        <f t="shared" si="8"/>
        <v>0</v>
      </c>
      <c r="K33" s="24">
        <f t="shared" si="8"/>
        <v>14998.916000000001</v>
      </c>
      <c r="L33" s="24">
        <f t="shared" si="8"/>
        <v>29807.119999999999</v>
      </c>
      <c r="M33" s="24">
        <f t="shared" si="8"/>
        <v>8217.9759999999987</v>
      </c>
      <c r="N33" s="24">
        <f t="shared" si="8"/>
        <v>8217.9759999999987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48">
        <v>0</v>
      </c>
      <c r="Z33" s="48">
        <v>0</v>
      </c>
    </row>
    <row r="34" spans="1:26" x14ac:dyDescent="0.3">
      <c r="A34" s="27" t="s">
        <v>2</v>
      </c>
      <c r="B34" s="65"/>
      <c r="C34" s="66"/>
      <c r="D34" s="66"/>
      <c r="E34" s="66"/>
      <c r="F34" s="66"/>
      <c r="G34" s="64"/>
      <c r="H34" s="64"/>
      <c r="I34" s="64"/>
      <c r="J34" s="64"/>
      <c r="K34" s="64"/>
      <c r="L34" s="64"/>
      <c r="M34" s="64"/>
      <c r="N34" s="6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</row>
    <row r="35" spans="1:26" x14ac:dyDescent="0.3">
      <c r="A35" s="9" t="s">
        <v>13</v>
      </c>
      <c r="B35" s="24">
        <v>778.84400000000005</v>
      </c>
      <c r="C35" s="24">
        <v>4191.076</v>
      </c>
      <c r="D35" s="24">
        <v>4837.24</v>
      </c>
      <c r="E35" s="24">
        <v>2657.0720000000001</v>
      </c>
      <c r="F35" s="24">
        <v>3103.1</v>
      </c>
      <c r="G35" s="24">
        <v>4662.3999999999996</v>
      </c>
      <c r="H35" s="24">
        <v>5135.3359999999993</v>
      </c>
      <c r="I35" s="24">
        <v>3453.6479999999997</v>
      </c>
      <c r="J35" s="24">
        <v>1095.2920000000001</v>
      </c>
      <c r="K35" s="24">
        <v>4736.4279999999999</v>
      </c>
      <c r="L35" s="24">
        <v>6058.8879999999999</v>
      </c>
      <c r="M35" s="24">
        <v>2990.7560000000003</v>
      </c>
      <c r="N35" s="24">
        <v>2990.7560000000003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9">B5+B9+B13+B17+B21+B25+B29+B33+B35</f>
        <v>135435.68620519497</v>
      </c>
      <c r="C36" s="34">
        <f t="shared" si="9"/>
        <v>244562.49868600001</v>
      </c>
      <c r="D36" s="34">
        <f t="shared" si="9"/>
        <v>321836.11647199997</v>
      </c>
      <c r="E36" s="34">
        <f t="shared" si="9"/>
        <v>251700.584088</v>
      </c>
      <c r="F36" s="34">
        <f t="shared" si="9"/>
        <v>216272.40496000004</v>
      </c>
      <c r="G36" s="34">
        <f t="shared" si="9"/>
        <v>288852.44839999999</v>
      </c>
      <c r="H36" s="34">
        <f t="shared" si="9"/>
        <v>319230.19959999999</v>
      </c>
      <c r="I36" s="34">
        <f t="shared" si="9"/>
        <v>276102.00459999999</v>
      </c>
      <c r="J36" s="34">
        <f t="shared" si="9"/>
        <v>202930.22502851766</v>
      </c>
      <c r="K36" s="34">
        <f t="shared" si="9"/>
        <v>325847.1829512</v>
      </c>
      <c r="L36" s="34">
        <f t="shared" si="9"/>
        <v>438334.63400043797</v>
      </c>
      <c r="M36" s="34">
        <f t="shared" si="9"/>
        <v>285642.57159265963</v>
      </c>
      <c r="N36" s="34">
        <f t="shared" si="9"/>
        <v>257525.83840000001</v>
      </c>
      <c r="O36" s="38">
        <f t="shared" ref="O36:X36" si="10">O5+O9+O13+O17+O21+O25+O29+O33+O35</f>
        <v>0</v>
      </c>
      <c r="P36" s="38">
        <f t="shared" ref="P36:Q36" si="11">P5+P9+P13+P17+P21+P25+P29+P33+P35</f>
        <v>0</v>
      </c>
      <c r="Q36" s="38">
        <f t="shared" si="11"/>
        <v>0</v>
      </c>
      <c r="R36" s="38">
        <f t="shared" ref="R36" si="12">R5+R9+R13+R17+R21+R25+R29+R33+R35</f>
        <v>0</v>
      </c>
      <c r="S36" s="38">
        <f t="shared" si="10"/>
        <v>0</v>
      </c>
      <c r="T36" s="38">
        <f t="shared" si="10"/>
        <v>0</v>
      </c>
      <c r="U36" s="38">
        <f t="shared" si="10"/>
        <v>0</v>
      </c>
      <c r="V36" s="38">
        <f t="shared" si="10"/>
        <v>0</v>
      </c>
      <c r="W36" s="38">
        <f t="shared" si="10"/>
        <v>0</v>
      </c>
      <c r="X36" s="38">
        <f t="shared" si="10"/>
        <v>0</v>
      </c>
      <c r="Y36" s="38">
        <f>Y5+Y9+Y13+Y17+Y21+Y25+Y29+Y33+Y35</f>
        <v>0</v>
      </c>
      <c r="Z36" s="38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3">
      <c r="A2" s="27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x14ac:dyDescent="0.3">
      <c r="A3" s="9" t="s">
        <v>11</v>
      </c>
      <c r="B3" s="21">
        <f>Sales_Actual!B3</f>
        <v>183.8424</v>
      </c>
      <c r="C3" s="21">
        <f>Sales_Actual!C3</f>
        <v>503.4</v>
      </c>
      <c r="D3" s="21">
        <f>Sales_Actual!D3</f>
        <v>729.45</v>
      </c>
      <c r="E3" s="21">
        <f>Sales_Actual!E3</f>
        <v>673.54319999999996</v>
      </c>
      <c r="F3" s="21">
        <f>Sales_Actual!F3</f>
        <v>311.33920000000001</v>
      </c>
      <c r="G3" s="21">
        <f>Sales_Actual!G3</f>
        <v>860.1880000000001</v>
      </c>
      <c r="H3" s="21">
        <f>Sales_Actual!H3</f>
        <v>949.59199999999998</v>
      </c>
      <c r="I3" s="21">
        <f>Sales_Actual!I3</f>
        <v>681.23739999999998</v>
      </c>
      <c r="J3" s="21">
        <f>Sales_Actual!J3</f>
        <v>296.10084000000001</v>
      </c>
      <c r="K3" s="21">
        <f>Sales_Actual!K3</f>
        <v>796.38379999999995</v>
      </c>
      <c r="L3" s="21">
        <f>Sales_Actual!L3</f>
        <v>946.65071999999998</v>
      </c>
      <c r="M3" s="21">
        <f>Sales_Actual!M3</f>
        <v>763.44319999999993</v>
      </c>
      <c r="N3" s="21">
        <f>Sales_Actual!N3</f>
        <v>763.44319999999993</v>
      </c>
      <c r="O3" s="47">
        <v>0</v>
      </c>
      <c r="P3" s="47">
        <v>0</v>
      </c>
      <c r="Q3" s="47">
        <v>0</v>
      </c>
      <c r="R3" s="47">
        <v>0</v>
      </c>
      <c r="S3" s="47">
        <v>0</v>
      </c>
      <c r="T3" s="47">
        <v>0</v>
      </c>
      <c r="U3" s="47">
        <v>0</v>
      </c>
      <c r="V3" s="47">
        <v>0</v>
      </c>
      <c r="W3" s="47">
        <v>0</v>
      </c>
      <c r="X3" s="47">
        <v>0</v>
      </c>
      <c r="Y3" s="51">
        <v>0</v>
      </c>
      <c r="Z3" s="51">
        <v>0</v>
      </c>
    </row>
    <row r="4" spans="1:26" x14ac:dyDescent="0.3">
      <c r="A4" s="9" t="s">
        <v>15</v>
      </c>
      <c r="B4" s="20">
        <v>50.329279765562596</v>
      </c>
      <c r="C4" s="20">
        <v>44.288741845682715</v>
      </c>
      <c r="D4" s="20">
        <v>42.89158109243067</v>
      </c>
      <c r="E4" s="20">
        <v>41.604516052471268</v>
      </c>
      <c r="F4" s="20">
        <v>45.695637164250336</v>
      </c>
      <c r="G4" s="20">
        <v>51.456934277489715</v>
      </c>
      <c r="H4" s="20">
        <v>40.180652304560191</v>
      </c>
      <c r="I4" s="20">
        <v>45.493920630569605</v>
      </c>
      <c r="J4" s="20">
        <v>43.386302700681092</v>
      </c>
      <c r="K4" s="20">
        <v>49.150415383036702</v>
      </c>
      <c r="L4" s="20">
        <v>56.00259652295675</v>
      </c>
      <c r="M4" s="20">
        <v>51.026514944054213</v>
      </c>
      <c r="N4" s="20">
        <v>47.373708624845804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52">
        <v>0</v>
      </c>
      <c r="Z4" s="52">
        <v>0</v>
      </c>
    </row>
    <row r="5" spans="1:26" x14ac:dyDescent="0.3">
      <c r="A5" s="9" t="s">
        <v>16</v>
      </c>
      <c r="B5" s="21">
        <f>B3*B4</f>
        <v>9252.6555823724648</v>
      </c>
      <c r="C5" s="21">
        <f t="shared" ref="C5:N5" si="0">C3*C4</f>
        <v>22294.952645116678</v>
      </c>
      <c r="D5" s="21">
        <f t="shared" si="0"/>
        <v>31287.263827873554</v>
      </c>
      <c r="E5" s="21">
        <f t="shared" si="0"/>
        <v>28022.438876432865</v>
      </c>
      <c r="F5" s="21">
        <f t="shared" si="0"/>
        <v>14226.843118207968</v>
      </c>
      <c r="G5" s="21">
        <f t="shared" si="0"/>
        <v>44262.637382285327</v>
      </c>
      <c r="H5" s="21">
        <f t="shared" si="0"/>
        <v>38155.225983191922</v>
      </c>
      <c r="I5" s="21">
        <f t="shared" si="0"/>
        <v>30992.160206175598</v>
      </c>
      <c r="J5" s="21">
        <f t="shared" si="0"/>
        <v>12846.720674165941</v>
      </c>
      <c r="K5" s="21">
        <f t="shared" si="0"/>
        <v>39142.594574321221</v>
      </c>
      <c r="L5" s="21">
        <f t="shared" si="0"/>
        <v>53014.898320326502</v>
      </c>
      <c r="M5" s="21">
        <f t="shared" si="0"/>
        <v>38955.845853736566</v>
      </c>
      <c r="N5" s="21">
        <f t="shared" si="0"/>
        <v>36167.135708419875</v>
      </c>
      <c r="O5" s="48">
        <v>0</v>
      </c>
      <c r="P5" s="48">
        <v>0</v>
      </c>
      <c r="Q5" s="48">
        <v>0</v>
      </c>
      <c r="R5" s="48">
        <v>0</v>
      </c>
      <c r="S5" s="48">
        <v>0</v>
      </c>
      <c r="T5" s="48">
        <v>0</v>
      </c>
      <c r="U5" s="48">
        <v>0</v>
      </c>
      <c r="V5" s="48">
        <v>0</v>
      </c>
      <c r="W5" s="48">
        <v>0</v>
      </c>
      <c r="X5" s="48">
        <v>0</v>
      </c>
      <c r="Y5" s="50">
        <v>0</v>
      </c>
      <c r="Z5" s="50">
        <v>0</v>
      </c>
    </row>
    <row r="6" spans="1:26" x14ac:dyDescent="0.3">
      <c r="A6" s="27" t="s">
        <v>3</v>
      </c>
      <c r="B6" s="33"/>
      <c r="C6" s="33"/>
      <c r="D6" s="33"/>
      <c r="E6" s="33"/>
      <c r="F6" s="77"/>
      <c r="G6" s="77"/>
      <c r="H6" s="77"/>
      <c r="I6" s="77"/>
      <c r="J6" s="77"/>
      <c r="K6" s="77"/>
      <c r="L6" s="77"/>
      <c r="M6" s="77"/>
      <c r="N6" s="77"/>
      <c r="O6" s="32"/>
      <c r="P6" s="32"/>
      <c r="Q6" s="32"/>
      <c r="R6" s="32"/>
      <c r="S6" s="32"/>
      <c r="T6" s="32"/>
      <c r="U6" s="32"/>
      <c r="V6" s="32"/>
      <c r="W6" s="32"/>
      <c r="X6" s="32"/>
      <c r="Y6" s="54"/>
      <c r="Z6" s="54"/>
    </row>
    <row r="7" spans="1:26" x14ac:dyDescent="0.3">
      <c r="A7" s="9" t="s">
        <v>11</v>
      </c>
      <c r="B7" s="21">
        <f>Sales_Actual!B7</f>
        <v>36.803199999999997</v>
      </c>
      <c r="C7" s="21">
        <f>Sales_Actual!C7</f>
        <v>195.12268</v>
      </c>
      <c r="D7" s="21">
        <f>Sales_Actual!D7</f>
        <v>243.72448</v>
      </c>
      <c r="E7" s="21">
        <f>Sales_Actual!E7</f>
        <v>145.018</v>
      </c>
      <c r="F7" s="21">
        <f>Sales_Actual!F7</f>
        <v>60.945999999999998</v>
      </c>
      <c r="G7" s="21">
        <f>Sales_Actual!G7</f>
        <v>122.01600000000001</v>
      </c>
      <c r="H7" s="21">
        <f>Sales_Actual!H7</f>
        <v>199.76399999999998</v>
      </c>
      <c r="I7" s="21">
        <f>Sales_Actual!I7</f>
        <v>107.13600000000001</v>
      </c>
      <c r="J7" s="21">
        <f>Sales_Actual!J7</f>
        <v>88.847239999999999</v>
      </c>
      <c r="K7" s="21">
        <f>Sales_Actual!K7</f>
        <v>175.64475999999999</v>
      </c>
      <c r="L7" s="21">
        <f>Sales_Actual!L7</f>
        <v>200.21163999999999</v>
      </c>
      <c r="M7" s="21">
        <f>Sales_Actual!M7</f>
        <v>105.87740000000001</v>
      </c>
      <c r="N7" s="21">
        <f>Sales_Actual!N7</f>
        <v>105.87740000000001</v>
      </c>
      <c r="O7" s="48">
        <v>0</v>
      </c>
      <c r="P7" s="48">
        <v>0</v>
      </c>
      <c r="Q7" s="48">
        <v>0</v>
      </c>
      <c r="R7" s="48">
        <v>0</v>
      </c>
      <c r="S7" s="48">
        <v>0</v>
      </c>
      <c r="T7" s="48">
        <v>0</v>
      </c>
      <c r="U7" s="48">
        <v>0</v>
      </c>
      <c r="V7" s="48">
        <v>0</v>
      </c>
      <c r="W7" s="48">
        <v>0</v>
      </c>
      <c r="X7" s="48">
        <v>0</v>
      </c>
      <c r="Y7" s="50">
        <v>0</v>
      </c>
      <c r="Z7" s="50">
        <v>0</v>
      </c>
    </row>
    <row r="8" spans="1:26" x14ac:dyDescent="0.3">
      <c r="A8" s="9" t="s">
        <v>15</v>
      </c>
      <c r="B8" s="20">
        <v>152.94879294044594</v>
      </c>
      <c r="C8" s="20">
        <v>171.91030160339889</v>
      </c>
      <c r="D8" s="20">
        <v>172.45</v>
      </c>
      <c r="E8" s="20">
        <v>176.48</v>
      </c>
      <c r="F8" s="20">
        <v>176.9</v>
      </c>
      <c r="G8" s="81">
        <v>178</v>
      </c>
      <c r="H8" s="81">
        <v>179.3</v>
      </c>
      <c r="I8" s="81">
        <v>183.6</v>
      </c>
      <c r="J8" s="81">
        <v>185.4</v>
      </c>
      <c r="K8" s="81">
        <v>184.5</v>
      </c>
      <c r="L8" s="81">
        <v>186.4</v>
      </c>
      <c r="M8" s="81">
        <v>187.1</v>
      </c>
      <c r="N8" s="50">
        <v>189.2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51">
        <v>0</v>
      </c>
      <c r="Z8" s="51">
        <v>0</v>
      </c>
    </row>
    <row r="9" spans="1:26" x14ac:dyDescent="0.3">
      <c r="A9" s="9" t="s">
        <v>16</v>
      </c>
      <c r="B9" s="24">
        <f>B7*B8</f>
        <v>5629.00501634582</v>
      </c>
      <c r="C9" s="24">
        <f t="shared" ref="C9:N9" si="1">C7*C8</f>
        <v>33543.598768463489</v>
      </c>
      <c r="D9" s="24">
        <f t="shared" si="1"/>
        <v>42030.286575999999</v>
      </c>
      <c r="E9" s="24">
        <f t="shared" si="1"/>
        <v>25592.77664</v>
      </c>
      <c r="F9" s="24">
        <f t="shared" si="1"/>
        <v>10781.347400000001</v>
      </c>
      <c r="G9" s="24">
        <f t="shared" si="1"/>
        <v>21718.848000000002</v>
      </c>
      <c r="H9" s="24">
        <f t="shared" si="1"/>
        <v>35817.6852</v>
      </c>
      <c r="I9" s="24">
        <f t="shared" si="1"/>
        <v>19670.169600000001</v>
      </c>
      <c r="J9" s="24">
        <f t="shared" si="1"/>
        <v>16472.278296</v>
      </c>
      <c r="K9" s="24">
        <f t="shared" si="1"/>
        <v>32406.458219999997</v>
      </c>
      <c r="L9" s="24">
        <f t="shared" si="1"/>
        <v>37319.449695999996</v>
      </c>
      <c r="M9" s="24">
        <f t="shared" si="1"/>
        <v>19809.661540000001</v>
      </c>
      <c r="N9" s="24">
        <f t="shared" si="1"/>
        <v>20032.004079999999</v>
      </c>
      <c r="O9" s="48">
        <v>0</v>
      </c>
      <c r="P9" s="48">
        <v>0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</v>
      </c>
      <c r="X9" s="48">
        <v>0</v>
      </c>
      <c r="Y9" s="50">
        <v>0</v>
      </c>
      <c r="Z9" s="50">
        <v>0</v>
      </c>
    </row>
    <row r="10" spans="1:26" x14ac:dyDescent="0.3">
      <c r="A10" s="27" t="s">
        <v>4</v>
      </c>
      <c r="B10" s="33"/>
      <c r="C10" s="33"/>
      <c r="D10" s="33"/>
      <c r="E10" s="33"/>
      <c r="F10" s="77"/>
      <c r="G10" s="77"/>
      <c r="H10" s="77"/>
      <c r="I10" s="77"/>
      <c r="J10" s="77"/>
      <c r="K10" s="77"/>
      <c r="L10" s="77"/>
      <c r="M10" s="77"/>
      <c r="N10" s="77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54"/>
      <c r="Z10" s="54"/>
    </row>
    <row r="11" spans="1:26" x14ac:dyDescent="0.3">
      <c r="A11" s="9" t="s">
        <v>11</v>
      </c>
      <c r="B11" s="21">
        <f>Sales_Actual!B11</f>
        <v>6174.1336000000001</v>
      </c>
      <c r="C11" s="21">
        <f>Sales_Actual!C11</f>
        <v>9363.6764800000001</v>
      </c>
      <c r="D11" s="21">
        <f>Sales_Actual!D11</f>
        <v>11737.269600000001</v>
      </c>
      <c r="E11" s="21">
        <f>Sales_Actual!E11</f>
        <v>9610.2232000000004</v>
      </c>
      <c r="F11" s="21">
        <f>Sales_Actual!F11</f>
        <v>13343.795</v>
      </c>
      <c r="G11" s="21">
        <f>Sales_Actual!G11</f>
        <v>9992.9194399999997</v>
      </c>
      <c r="H11" s="21">
        <f>Sales_Actual!H11</f>
        <v>8709.4177599999985</v>
      </c>
      <c r="I11" s="21">
        <f>Sales_Actual!I11</f>
        <v>9558.6578000000009</v>
      </c>
      <c r="J11" s="21">
        <f>Sales_Actual!J11</f>
        <v>6465.1801999999998</v>
      </c>
      <c r="K11" s="21">
        <f>Sales_Actual!K11</f>
        <v>9626.11132</v>
      </c>
      <c r="L11" s="21">
        <f>Sales_Actual!L11</f>
        <v>11881.177799999998</v>
      </c>
      <c r="M11" s="21">
        <f>Sales_Actual!M11</f>
        <v>7827.8087599999999</v>
      </c>
      <c r="N11" s="21">
        <f>Sales_Actual!N11</f>
        <v>7827.8087599999999</v>
      </c>
      <c r="O11" s="48">
        <v>0</v>
      </c>
      <c r="P11" s="48">
        <v>0</v>
      </c>
      <c r="Q11" s="48">
        <v>0</v>
      </c>
      <c r="R11" s="48">
        <v>0</v>
      </c>
      <c r="S11" s="48">
        <v>0</v>
      </c>
      <c r="T11" s="48">
        <v>0</v>
      </c>
      <c r="U11" s="48">
        <v>0</v>
      </c>
      <c r="V11" s="48">
        <v>0</v>
      </c>
      <c r="W11" s="48">
        <v>0</v>
      </c>
      <c r="X11" s="48">
        <v>0</v>
      </c>
      <c r="Y11" s="50">
        <v>0</v>
      </c>
      <c r="Z11" s="50">
        <v>0</v>
      </c>
    </row>
    <row r="12" spans="1:26" x14ac:dyDescent="0.3">
      <c r="A12" s="9" t="s">
        <v>15</v>
      </c>
      <c r="B12" s="21">
        <v>9.3977344957153566</v>
      </c>
      <c r="C12" s="21">
        <v>10.421057788600171</v>
      </c>
      <c r="D12" s="21">
        <v>9.9644114234964878</v>
      </c>
      <c r="E12" s="21">
        <v>8.7311276768505479</v>
      </c>
      <c r="F12" s="21">
        <v>7.5983854682479333</v>
      </c>
      <c r="G12" s="35">
        <v>10.132212410908981</v>
      </c>
      <c r="H12" s="35">
        <v>13.059820164908237</v>
      </c>
      <c r="I12" s="35">
        <v>11.959832372566195</v>
      </c>
      <c r="J12" s="51">
        <v>10.366705605885379</v>
      </c>
      <c r="K12" s="52">
        <v>9.7027914939112705</v>
      </c>
      <c r="L12" s="50">
        <v>12.779155281989818</v>
      </c>
      <c r="M12" s="50">
        <v>13.345909527589095</v>
      </c>
      <c r="N12" s="50">
        <v>9.9607177602997172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52">
        <v>0</v>
      </c>
      <c r="Z12" s="52">
        <v>0</v>
      </c>
    </row>
    <row r="13" spans="1:26" x14ac:dyDescent="0.3">
      <c r="A13" s="9" t="s">
        <v>16</v>
      </c>
      <c r="B13" s="23">
        <f>B11*B12</f>
        <v>58022.868313875239</v>
      </c>
      <c r="C13" s="23">
        <f t="shared" ref="C13:N13" si="2">C11*C12</f>
        <v>97579.413711836241</v>
      </c>
      <c r="D13" s="23">
        <f t="shared" si="2"/>
        <v>116954.98328289807</v>
      </c>
      <c r="E13" s="23">
        <f t="shared" si="2"/>
        <v>83908.085762231247</v>
      </c>
      <c r="F13" s="23">
        <f t="shared" si="2"/>
        <v>101391.29801927943</v>
      </c>
      <c r="G13" s="23">
        <f t="shared" si="2"/>
        <v>101250.38237118162</v>
      </c>
      <c r="H13" s="23">
        <f t="shared" si="2"/>
        <v>113743.42968665791</v>
      </c>
      <c r="I13" s="23">
        <f t="shared" si="2"/>
        <v>114319.94499472238</v>
      </c>
      <c r="J13" s="23">
        <f t="shared" si="2"/>
        <v>67022.619822399152</v>
      </c>
      <c r="K13" s="23">
        <f t="shared" si="2"/>
        <v>93400.151035138988</v>
      </c>
      <c r="L13" s="23">
        <f t="shared" si="2"/>
        <v>151831.41603913013</v>
      </c>
      <c r="M13" s="23">
        <f t="shared" si="2"/>
        <v>104469.22751022938</v>
      </c>
      <c r="N13" s="23">
        <f t="shared" si="2"/>
        <v>77970.593739961711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</v>
      </c>
      <c r="X13" s="48">
        <v>0</v>
      </c>
      <c r="Y13" s="50">
        <v>0</v>
      </c>
      <c r="Z13" s="50">
        <v>0</v>
      </c>
    </row>
    <row r="14" spans="1:26" x14ac:dyDescent="0.3">
      <c r="A14" s="27" t="s">
        <v>5</v>
      </c>
      <c r="B14" s="78"/>
      <c r="C14" s="78"/>
      <c r="D14" s="78"/>
      <c r="E14" s="78"/>
      <c r="F14" s="78"/>
      <c r="G14" s="79"/>
      <c r="H14" s="77"/>
      <c r="I14" s="77"/>
      <c r="J14" s="77"/>
      <c r="K14" s="77"/>
      <c r="L14" s="77"/>
      <c r="M14" s="77"/>
      <c r="N14" s="77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54"/>
      <c r="Z14" s="54"/>
    </row>
    <row r="15" spans="1:26" x14ac:dyDescent="0.3">
      <c r="A15" s="9" t="s">
        <v>11</v>
      </c>
      <c r="B15" s="21">
        <f>Sales_Actual!B15</f>
        <v>0</v>
      </c>
      <c r="C15" s="21">
        <f>Sales_Actual!C15</f>
        <v>0</v>
      </c>
      <c r="D15" s="21">
        <f>Sales_Actual!D15</f>
        <v>0</v>
      </c>
      <c r="E15" s="21">
        <f>Sales_Actual!E15</f>
        <v>0</v>
      </c>
      <c r="F15" s="21">
        <f>Sales_Actual!F15</f>
        <v>0</v>
      </c>
      <c r="G15" s="21">
        <f>Sales_Actual!G15</f>
        <v>0</v>
      </c>
      <c r="H15" s="21">
        <f>Sales_Actual!H15</f>
        <v>231.88</v>
      </c>
      <c r="I15" s="21">
        <f>Sales_Actual!I15</f>
        <v>107.88</v>
      </c>
      <c r="J15" s="21">
        <f>Sales_Actual!J15</f>
        <v>149.56631999999999</v>
      </c>
      <c r="K15" s="21">
        <f>Sales_Actual!K15</f>
        <v>1039.48828</v>
      </c>
      <c r="L15" s="21">
        <f>Sales_Actual!L15</f>
        <v>508.64799999999997</v>
      </c>
      <c r="M15" s="21">
        <f>Sales_Actual!M15</f>
        <v>136.59344000000002</v>
      </c>
      <c r="N15" s="21">
        <f>Sales_Actual!N15</f>
        <v>136.59344000000002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50">
        <v>0</v>
      </c>
      <c r="Z15" s="50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4">
        <v>7.1430501824687553</v>
      </c>
      <c r="I16" s="50">
        <v>5.4279958717518078</v>
      </c>
      <c r="J16" s="50">
        <v>9.3963678160919546</v>
      </c>
      <c r="K16" s="44">
        <v>6.6448832745279596</v>
      </c>
      <c r="L16" s="50">
        <v>10.31350702674589</v>
      </c>
      <c r="M16" s="50">
        <v>10.6045831301804</v>
      </c>
      <c r="N16" s="50">
        <v>10.376230272840637</v>
      </c>
      <c r="O16" s="37">
        <v>0</v>
      </c>
      <c r="P16" s="48">
        <v>0</v>
      </c>
      <c r="Q16" s="48">
        <v>0</v>
      </c>
      <c r="R16" s="48">
        <v>0</v>
      </c>
      <c r="S16" s="48">
        <v>0</v>
      </c>
      <c r="T16" s="48">
        <v>0</v>
      </c>
      <c r="U16" s="48">
        <v>0</v>
      </c>
      <c r="V16" s="48">
        <v>0</v>
      </c>
      <c r="W16" s="48">
        <v>0</v>
      </c>
      <c r="X16" s="48">
        <v>0</v>
      </c>
      <c r="Y16" s="50">
        <v>0</v>
      </c>
      <c r="Z16" s="50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1656.3304763108549</v>
      </c>
      <c r="I17" s="23">
        <f t="shared" si="3"/>
        <v>585.57219464458501</v>
      </c>
      <c r="J17" s="23">
        <f t="shared" si="3"/>
        <v>1405.3801556193102</v>
      </c>
      <c r="K17" s="23">
        <f t="shared" si="3"/>
        <v>6907.2782858398368</v>
      </c>
      <c r="L17" s="23">
        <f t="shared" si="3"/>
        <v>5245.9447221402434</v>
      </c>
      <c r="M17" s="23">
        <f t="shared" si="3"/>
        <v>1448.5164895173089</v>
      </c>
      <c r="N17" s="23">
        <f t="shared" si="3"/>
        <v>1417.3249871994412</v>
      </c>
      <c r="O17" s="48">
        <v>0</v>
      </c>
      <c r="P17" s="48">
        <v>0</v>
      </c>
      <c r="Q17" s="48">
        <v>0</v>
      </c>
      <c r="R17" s="48">
        <v>0</v>
      </c>
      <c r="S17" s="48">
        <v>0</v>
      </c>
      <c r="T17" s="48">
        <v>0</v>
      </c>
      <c r="U17" s="48">
        <v>0</v>
      </c>
      <c r="V17" s="48">
        <v>0</v>
      </c>
      <c r="W17" s="48">
        <v>0</v>
      </c>
      <c r="X17" s="48">
        <v>0</v>
      </c>
      <c r="Y17" s="50">
        <v>0</v>
      </c>
      <c r="Z17" s="50">
        <v>0</v>
      </c>
    </row>
    <row r="18" spans="1:26" x14ac:dyDescent="0.3">
      <c r="A18" s="27" t="s">
        <v>6</v>
      </c>
      <c r="B18" s="78"/>
      <c r="C18" s="78"/>
      <c r="D18" s="78"/>
      <c r="E18" s="78"/>
      <c r="F18" s="78"/>
      <c r="G18" s="79"/>
      <c r="H18" s="77"/>
      <c r="I18" s="77"/>
      <c r="J18" s="77"/>
      <c r="K18" s="77"/>
      <c r="L18" s="77"/>
      <c r="M18" s="77"/>
      <c r="N18" s="77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54"/>
      <c r="Z18" s="54"/>
    </row>
    <row r="19" spans="1:26" x14ac:dyDescent="0.3">
      <c r="A19" s="9" t="s">
        <v>14</v>
      </c>
      <c r="B19" s="21">
        <f>Sales_Actual!B19</f>
        <v>206.19091999999998</v>
      </c>
      <c r="C19" s="21">
        <f>Sales_Actual!C19</f>
        <v>151.85411999999999</v>
      </c>
      <c r="D19" s="21">
        <f>Sales_Actual!D19</f>
        <v>172.01528000000002</v>
      </c>
      <c r="E19" s="21">
        <f>Sales_Actual!E19</f>
        <v>258.8252</v>
      </c>
      <c r="F19" s="21">
        <f>Sales_Actual!F19</f>
        <v>268.88159999999999</v>
      </c>
      <c r="G19" s="21">
        <f>Sales_Actual!G19</f>
        <v>262.75600000000003</v>
      </c>
      <c r="H19" s="21">
        <f>Sales_Actual!H19</f>
        <v>144.83199999999999</v>
      </c>
      <c r="I19" s="21">
        <f>Sales_Actual!I19</f>
        <v>229.77200000000002</v>
      </c>
      <c r="J19" s="21">
        <f>Sales_Actual!J19</f>
        <v>142.72399999999999</v>
      </c>
      <c r="K19" s="21">
        <f>Sales_Actual!K19</f>
        <v>174.19048800000002</v>
      </c>
      <c r="L19" s="21">
        <f>Sales_Actual!L19</f>
        <v>154.32916</v>
      </c>
      <c r="M19" s="21">
        <f>Sales_Actual!M19</f>
        <v>71.433920000000001</v>
      </c>
      <c r="N19" s="21">
        <f>Sales_Actual!N19</f>
        <v>71.433920000000001</v>
      </c>
      <c r="O19" s="48">
        <v>0</v>
      </c>
      <c r="P19" s="48">
        <v>0</v>
      </c>
      <c r="Q19" s="48">
        <v>0</v>
      </c>
      <c r="R19" s="48">
        <v>0</v>
      </c>
      <c r="S19" s="48">
        <v>0</v>
      </c>
      <c r="T19" s="48">
        <v>0</v>
      </c>
      <c r="U19" s="48">
        <v>0</v>
      </c>
      <c r="V19" s="48">
        <v>0</v>
      </c>
      <c r="W19" s="48">
        <v>0</v>
      </c>
      <c r="X19" s="48">
        <v>0</v>
      </c>
      <c r="Y19" s="50">
        <v>0</v>
      </c>
      <c r="Z19" s="50">
        <v>0</v>
      </c>
    </row>
    <row r="20" spans="1:26" x14ac:dyDescent="0.3">
      <c r="A20" s="9" t="s">
        <v>15</v>
      </c>
      <c r="B20" s="20">
        <v>56.983496678203849</v>
      </c>
      <c r="C20" s="20">
        <v>44.023164833653176</v>
      </c>
      <c r="D20" s="20">
        <v>48.188522835832849</v>
      </c>
      <c r="E20" s="20">
        <v>44.671983859219182</v>
      </c>
      <c r="F20" s="20">
        <v>33.455816545622504</v>
      </c>
      <c r="G20" s="20">
        <v>45.014250092025357</v>
      </c>
      <c r="H20" s="20">
        <v>47.081086125831497</v>
      </c>
      <c r="I20" s="20">
        <v>51.827035021807376</v>
      </c>
      <c r="J20" s="20">
        <v>44.734235502383136</v>
      </c>
      <c r="K20" s="20">
        <v>45.924546572954476</v>
      </c>
      <c r="L20" s="20">
        <v>46.881647146394982</v>
      </c>
      <c r="M20" s="20">
        <v>46.835872981565117</v>
      </c>
      <c r="N20" s="20">
        <v>42.303382331674392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51">
        <v>0</v>
      </c>
      <c r="Z20" s="51">
        <v>0</v>
      </c>
    </row>
    <row r="21" spans="1:26" x14ac:dyDescent="0.3">
      <c r="A21" s="9" t="s">
        <v>16</v>
      </c>
      <c r="B21" s="23">
        <f>B19*B20</f>
        <v>11749.479604895794</v>
      </c>
      <c r="C21" s="23">
        <f t="shared" ref="C21:N21" si="4">C19*C20</f>
        <v>6685.0989554293492</v>
      </c>
      <c r="D21" s="23">
        <f t="shared" si="4"/>
        <v>8289.1622483921819</v>
      </c>
      <c r="E21" s="23">
        <f t="shared" si="4"/>
        <v>11562.235156759176</v>
      </c>
      <c r="F21" s="23">
        <f t="shared" si="4"/>
        <v>8995.6534820934521</v>
      </c>
      <c r="G21" s="23">
        <f t="shared" si="4"/>
        <v>11827.764297180216</v>
      </c>
      <c r="H21" s="23">
        <f t="shared" si="4"/>
        <v>6818.8478657764272</v>
      </c>
      <c r="I21" s="23">
        <f t="shared" si="4"/>
        <v>11908.401491030725</v>
      </c>
      <c r="J21" s="23">
        <f t="shared" si="4"/>
        <v>6384.6490278421306</v>
      </c>
      <c r="K21" s="23">
        <f t="shared" si="4"/>
        <v>7999.6191787216685</v>
      </c>
      <c r="L21" s="23">
        <f t="shared" si="4"/>
        <v>7235.2052235195351</v>
      </c>
      <c r="M21" s="23">
        <f t="shared" si="4"/>
        <v>3345.6700036952839</v>
      </c>
      <c r="N21" s="23">
        <f t="shared" si="4"/>
        <v>3021.8964292102419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50">
        <v>0</v>
      </c>
      <c r="Z21" s="50">
        <v>0</v>
      </c>
    </row>
    <row r="22" spans="1:26" x14ac:dyDescent="0.3">
      <c r="A22" s="27" t="s">
        <v>7</v>
      </c>
      <c r="B22" s="78"/>
      <c r="C22" s="78"/>
      <c r="D22" s="78"/>
      <c r="E22" s="78"/>
      <c r="F22" s="78"/>
      <c r="G22" s="79"/>
      <c r="H22" s="77"/>
      <c r="I22" s="77"/>
      <c r="J22" s="77"/>
      <c r="K22" s="77"/>
      <c r="L22" s="77"/>
      <c r="M22" s="77"/>
      <c r="N22" s="77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54"/>
      <c r="Z22" s="54"/>
    </row>
    <row r="23" spans="1:26" x14ac:dyDescent="0.3">
      <c r="A23" s="9" t="s">
        <v>14</v>
      </c>
      <c r="B23" s="24">
        <f>Sales_Actual!B23</f>
        <v>134.99880000000002</v>
      </c>
      <c r="C23" s="24">
        <f>Sales_Actual!C23</f>
        <v>184.84432000000001</v>
      </c>
      <c r="D23" s="24">
        <f>Sales_Actual!D23</f>
        <v>256.45060000000001</v>
      </c>
      <c r="E23" s="24">
        <f>Sales_Actual!E23</f>
        <v>229.15200000000002</v>
      </c>
      <c r="F23" s="24">
        <f>Sales_Actual!F23</f>
        <v>276.75560000000002</v>
      </c>
      <c r="G23" s="24">
        <f>Sales_Actual!G23</f>
        <v>196.61439999999999</v>
      </c>
      <c r="H23" s="24">
        <f>Sales_Actual!H23</f>
        <v>244.77600000000001</v>
      </c>
      <c r="I23" s="24">
        <f>Sales_Actual!I23</f>
        <v>140.36799999999999</v>
      </c>
      <c r="J23" s="24">
        <f>Sales_Actual!J23</f>
        <v>160.33200000000002</v>
      </c>
      <c r="K23" s="24">
        <f>Sales_Actual!K23</f>
        <v>209.11359999999999</v>
      </c>
      <c r="L23" s="24">
        <f>Sales_Actual!L23</f>
        <v>79.731999999999999</v>
      </c>
      <c r="M23" s="24">
        <f>Sales_Actual!M23</f>
        <v>136.648</v>
      </c>
      <c r="N23" s="24">
        <f>Sales_Actual!N23</f>
        <v>136.648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50">
        <v>0</v>
      </c>
      <c r="Z23" s="50">
        <v>0</v>
      </c>
    </row>
    <row r="24" spans="1:26" x14ac:dyDescent="0.3">
      <c r="A24" s="9" t="s">
        <v>15</v>
      </c>
      <c r="B24" s="24">
        <v>24.114688296554313</v>
      </c>
      <c r="C24" s="24">
        <v>25.439822693869278</v>
      </c>
      <c r="D24" s="24">
        <v>26.234315460535985</v>
      </c>
      <c r="E24" s="24">
        <v>26.88215773607708</v>
      </c>
      <c r="F24" s="24">
        <v>18.885686167392716</v>
      </c>
      <c r="G24" s="24">
        <v>25.874455887539266</v>
      </c>
      <c r="H24" s="24">
        <v>27.785582861259016</v>
      </c>
      <c r="I24" s="24">
        <v>25.413153793855294</v>
      </c>
      <c r="J24" s="24">
        <v>24.803735073839103</v>
      </c>
      <c r="K24" s="24">
        <v>24.8967170825007</v>
      </c>
      <c r="L24" s="24">
        <v>24.114738222196767</v>
      </c>
      <c r="M24" s="24">
        <v>27.610785927695083</v>
      </c>
      <c r="N24" s="24">
        <v>29.179827173248658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51">
        <v>0</v>
      </c>
      <c r="Z24" s="51">
        <v>0</v>
      </c>
    </row>
    <row r="25" spans="1:26" x14ac:dyDescent="0.3">
      <c r="A25" s="9" t="s">
        <v>16</v>
      </c>
      <c r="B25" s="24">
        <f>B23*B24</f>
        <v>3255.453982408877</v>
      </c>
      <c r="C25" s="24">
        <f t="shared" ref="C25:N25" si="5">C23*C24</f>
        <v>4702.4067267688351</v>
      </c>
      <c r="D25" s="24">
        <f t="shared" si="5"/>
        <v>6727.8059404437299</v>
      </c>
      <c r="E25" s="24">
        <f t="shared" si="5"/>
        <v>6160.1002095375352</v>
      </c>
      <c r="F25" s="24">
        <f t="shared" si="5"/>
        <v>5226.7194066684715</v>
      </c>
      <c r="G25" s="24">
        <f t="shared" si="5"/>
        <v>5087.2906196550002</v>
      </c>
      <c r="H25" s="24">
        <f t="shared" si="5"/>
        <v>6801.2438304475372</v>
      </c>
      <c r="I25" s="24">
        <f t="shared" si="5"/>
        <v>3567.1935717358797</v>
      </c>
      <c r="J25" s="24">
        <f t="shared" si="5"/>
        <v>3976.8324518587715</v>
      </c>
      <c r="K25" s="24">
        <f t="shared" si="5"/>
        <v>5206.2421373032184</v>
      </c>
      <c r="L25" s="24">
        <f t="shared" si="5"/>
        <v>1922.7163079321926</v>
      </c>
      <c r="M25" s="24">
        <f t="shared" si="5"/>
        <v>3772.9586754476777</v>
      </c>
      <c r="N25" s="24">
        <f t="shared" si="5"/>
        <v>3987.3650235700825</v>
      </c>
      <c r="O25" s="48">
        <v>0</v>
      </c>
      <c r="P25" s="48">
        <v>0</v>
      </c>
      <c r="Q25" s="48">
        <v>0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</v>
      </c>
      <c r="X25" s="48">
        <v>0</v>
      </c>
      <c r="Y25" s="50">
        <v>0</v>
      </c>
      <c r="Z25" s="50">
        <v>0</v>
      </c>
    </row>
    <row r="26" spans="1:26" x14ac:dyDescent="0.3">
      <c r="A26" s="39" t="s">
        <v>8</v>
      </c>
      <c r="B26" s="78"/>
      <c r="C26" s="78"/>
      <c r="D26" s="78"/>
      <c r="E26" s="78"/>
      <c r="F26" s="78"/>
      <c r="G26" s="79"/>
      <c r="H26" s="77"/>
      <c r="I26" s="77"/>
      <c r="J26" s="77"/>
      <c r="K26" s="77"/>
      <c r="L26" s="77"/>
      <c r="M26" s="77"/>
      <c r="N26" s="77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54"/>
      <c r="Z26" s="54"/>
    </row>
    <row r="27" spans="1:26" x14ac:dyDescent="0.3">
      <c r="A27" s="9" t="s">
        <v>11</v>
      </c>
      <c r="B27" s="24">
        <f>Sales_Actual!B27</f>
        <v>0</v>
      </c>
      <c r="C27" s="24">
        <f>Sales_Actual!C27</f>
        <v>1.1903999999999999</v>
      </c>
      <c r="D27" s="24">
        <f>Sales_Actual!D27</f>
        <v>150.16399999999999</v>
      </c>
      <c r="E27" s="24">
        <f>Sales_Actual!E27</f>
        <v>89.70532</v>
      </c>
      <c r="F27" s="24">
        <f>Sales_Actual!F27</f>
        <v>82.112799999999993</v>
      </c>
      <c r="G27" s="24">
        <f>Sales_Actual!G27</f>
        <v>325.87200000000001</v>
      </c>
      <c r="H27" s="24">
        <f>Sales_Actual!H27</f>
        <v>399.34199999999993</v>
      </c>
      <c r="I27" s="24">
        <f>Sales_Actual!I27</f>
        <v>484.71599999999995</v>
      </c>
      <c r="J27" s="24">
        <f>Sales_Actual!J27</f>
        <v>261.9128</v>
      </c>
      <c r="K27" s="24">
        <f>Sales_Actual!K27</f>
        <v>648.07359999999994</v>
      </c>
      <c r="L27" s="24">
        <f>Sales_Actual!L27</f>
        <v>848.30880000000002</v>
      </c>
      <c r="M27" s="24">
        <f>Sales_Actual!M27</f>
        <v>727.88</v>
      </c>
      <c r="N27" s="24">
        <f>Sales_Actual!N27</f>
        <v>727.88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50">
        <v>0</v>
      </c>
      <c r="Z27" s="50">
        <v>0</v>
      </c>
    </row>
    <row r="28" spans="1:26" x14ac:dyDescent="0.3">
      <c r="A28" s="9" t="s">
        <v>15</v>
      </c>
      <c r="B28" s="23">
        <v>0</v>
      </c>
      <c r="C28" s="24">
        <v>11.672599785995894</v>
      </c>
      <c r="D28" s="24">
        <v>12.763241465312868</v>
      </c>
      <c r="E28" s="24">
        <v>30.302525615235506</v>
      </c>
      <c r="F28" s="24">
        <v>16.519414836861557</v>
      </c>
      <c r="G28" s="24">
        <v>12.664987205261937</v>
      </c>
      <c r="H28" s="24">
        <v>10.974598985533433</v>
      </c>
      <c r="I28" s="24">
        <v>12.531751432122118</v>
      </c>
      <c r="J28" s="24">
        <v>11.469439172471274</v>
      </c>
      <c r="K28" s="24">
        <v>11.614970159507564</v>
      </c>
      <c r="L28" s="24">
        <v>10.763897548769091</v>
      </c>
      <c r="M28" s="24">
        <v>12.779501132036847</v>
      </c>
      <c r="N28" s="24">
        <v>12.67127550937416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51">
        <v>0</v>
      </c>
      <c r="Z28" s="51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13.895062785249511</v>
      </c>
      <c r="D29" s="23">
        <f t="shared" si="6"/>
        <v>1916.5793913972414</v>
      </c>
      <c r="E29" s="23">
        <f t="shared" si="6"/>
        <v>2718.297757122898</v>
      </c>
      <c r="F29" s="23">
        <f t="shared" si="6"/>
        <v>1356.4554066162455</v>
      </c>
      <c r="G29" s="23">
        <f t="shared" si="6"/>
        <v>4127.1647105531183</v>
      </c>
      <c r="H29" s="23">
        <f t="shared" si="6"/>
        <v>4382.6183080808914</v>
      </c>
      <c r="I29" s="23">
        <f t="shared" si="6"/>
        <v>6074.340427172504</v>
      </c>
      <c r="J29" s="23">
        <f t="shared" si="6"/>
        <v>3003.9929280916344</v>
      </c>
      <c r="K29" s="23">
        <f t="shared" si="6"/>
        <v>7527.3555251646403</v>
      </c>
      <c r="L29" s="23">
        <f t="shared" si="6"/>
        <v>9131.1090129192489</v>
      </c>
      <c r="M29" s="23">
        <f t="shared" si="6"/>
        <v>9301.9432839869805</v>
      </c>
      <c r="N29" s="23">
        <f t="shared" si="6"/>
        <v>9223.1680177632643</v>
      </c>
      <c r="O29" s="48">
        <v>0</v>
      </c>
      <c r="P29" s="48">
        <v>0</v>
      </c>
      <c r="Q29" s="48">
        <v>0</v>
      </c>
      <c r="R29" s="48">
        <v>0</v>
      </c>
      <c r="S29" s="48">
        <v>0</v>
      </c>
      <c r="T29" s="48">
        <v>0</v>
      </c>
      <c r="U29" s="48">
        <v>0</v>
      </c>
      <c r="V29" s="48">
        <v>0</v>
      </c>
      <c r="W29" s="48">
        <v>0</v>
      </c>
      <c r="X29" s="48">
        <v>0</v>
      </c>
      <c r="Y29" s="50">
        <v>0</v>
      </c>
      <c r="Z29" s="50">
        <v>0</v>
      </c>
    </row>
    <row r="30" spans="1:26" x14ac:dyDescent="0.3">
      <c r="A30" s="27" t="s">
        <v>9</v>
      </c>
      <c r="B30" s="78"/>
      <c r="C30" s="78"/>
      <c r="D30" s="78"/>
      <c r="E30" s="78"/>
      <c r="F30" s="78"/>
      <c r="G30" s="79"/>
      <c r="H30" s="77"/>
      <c r="I30" s="77"/>
      <c r="J30" s="77"/>
      <c r="K30" s="77"/>
      <c r="L30" s="77"/>
      <c r="M30" s="77"/>
      <c r="N30" s="77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53"/>
      <c r="Z30" s="53"/>
    </row>
    <row r="31" spans="1:26" x14ac:dyDescent="0.3">
      <c r="A31" s="9" t="s">
        <v>14</v>
      </c>
      <c r="B31" s="21">
        <f>Sales_Actual!B31</f>
        <v>30.108439999999998</v>
      </c>
      <c r="C31" s="21">
        <f>Sales_Actual!C31</f>
        <v>0</v>
      </c>
      <c r="D31" s="21">
        <f>Sales_Actual!D31</f>
        <v>21.781839999999999</v>
      </c>
      <c r="E31" s="21">
        <f>Sales_Actual!E31</f>
        <v>0</v>
      </c>
      <c r="F31" s="21">
        <f>Sales_Actual!F31</f>
        <v>0</v>
      </c>
      <c r="G31" s="21">
        <f>Sales_Actual!G31</f>
        <v>0</v>
      </c>
      <c r="H31" s="21">
        <f>Sales_Actual!H31</f>
        <v>0</v>
      </c>
      <c r="I31" s="21">
        <f>Sales_Actual!I31</f>
        <v>0</v>
      </c>
      <c r="J31" s="21">
        <f>Sales_Actual!J31</f>
        <v>0</v>
      </c>
      <c r="K31" s="21">
        <f>Sales_Actual!K31</f>
        <v>282.69148000000001</v>
      </c>
      <c r="L31" s="21">
        <f>Sales_Actual!L31</f>
        <v>574.88508000000002</v>
      </c>
      <c r="M31" s="21">
        <f>Sales_Actual!M31</f>
        <v>174.42583999999999</v>
      </c>
      <c r="N31" s="21">
        <f>Sales_Actual!N31</f>
        <v>174.42583999999999</v>
      </c>
      <c r="O31" s="48">
        <v>0</v>
      </c>
      <c r="P31" s="48">
        <v>0</v>
      </c>
      <c r="Q31" s="48">
        <v>0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</v>
      </c>
      <c r="X31" s="48">
        <v>0</v>
      </c>
      <c r="Y31" s="50">
        <v>0</v>
      </c>
      <c r="Z31" s="50">
        <v>0</v>
      </c>
    </row>
    <row r="32" spans="1:26" x14ac:dyDescent="0.3">
      <c r="A32" s="9" t="s">
        <v>15</v>
      </c>
      <c r="B32" s="20">
        <v>29.362873619249591</v>
      </c>
      <c r="C32" s="20">
        <v>0</v>
      </c>
      <c r="D32" s="20">
        <v>24.616361397054003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34.362141497636848</v>
      </c>
      <c r="L32" s="20">
        <v>34.060225694626624</v>
      </c>
      <c r="M32" s="20">
        <v>28.932429913947288</v>
      </c>
      <c r="N32" s="20">
        <v>31.591244860980471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51">
        <v>0</v>
      </c>
      <c r="Z32" s="51">
        <v>0</v>
      </c>
    </row>
    <row r="33" spans="1:26" x14ac:dyDescent="0.3">
      <c r="A33" s="9" t="s">
        <v>16</v>
      </c>
      <c r="B33" s="23">
        <f>B31*B32</f>
        <v>884.07031859275912</v>
      </c>
      <c r="C33" s="23">
        <f t="shared" ref="C33:N33" si="7">C31*C32</f>
        <v>0</v>
      </c>
      <c r="D33" s="23">
        <f t="shared" si="7"/>
        <v>536.18964533280678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9713.8846359363779</v>
      </c>
      <c r="L33" s="23">
        <f t="shared" si="7"/>
        <v>19580.715573273483</v>
      </c>
      <c r="M33" s="23">
        <f t="shared" si="7"/>
        <v>5046.5633909813832</v>
      </c>
      <c r="N33" s="23">
        <f t="shared" si="7"/>
        <v>5510.3294215222013</v>
      </c>
      <c r="O33" s="48">
        <v>0</v>
      </c>
      <c r="P33" s="48">
        <v>0</v>
      </c>
      <c r="Q33" s="48">
        <v>0</v>
      </c>
      <c r="R33" s="48">
        <v>0</v>
      </c>
      <c r="S33" s="48">
        <v>0</v>
      </c>
      <c r="T33" s="48">
        <v>0</v>
      </c>
      <c r="U33" s="48">
        <v>0</v>
      </c>
      <c r="V33" s="48">
        <v>0</v>
      </c>
      <c r="W33" s="48">
        <v>0</v>
      </c>
      <c r="X33" s="48">
        <v>0</v>
      </c>
      <c r="Y33" s="50">
        <v>0</v>
      </c>
      <c r="Z33" s="50">
        <v>0</v>
      </c>
    </row>
    <row r="34" spans="1:26" x14ac:dyDescent="0.3">
      <c r="A34" s="27" t="s">
        <v>2</v>
      </c>
      <c r="B34" s="78"/>
      <c r="C34" s="78"/>
      <c r="D34" s="78"/>
      <c r="E34" s="78"/>
      <c r="F34" s="78"/>
      <c r="G34" s="79"/>
      <c r="H34" s="77"/>
      <c r="I34" s="77"/>
      <c r="J34" s="77"/>
      <c r="K34" s="77"/>
      <c r="L34" s="77"/>
      <c r="M34" s="77"/>
      <c r="N34" s="77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53"/>
      <c r="Z34" s="53"/>
    </row>
    <row r="35" spans="1:26" x14ac:dyDescent="0.3">
      <c r="A35" s="9" t="s">
        <v>16</v>
      </c>
      <c r="B35" s="23">
        <v>674.79011201690253</v>
      </c>
      <c r="C35" s="23">
        <v>3566.1409670936259</v>
      </c>
      <c r="D35" s="23">
        <v>3588.7332786183915</v>
      </c>
      <c r="E35" s="23">
        <v>2380.7945871972229</v>
      </c>
      <c r="F35" s="23">
        <v>2360.7433919901591</v>
      </c>
      <c r="G35" s="23">
        <v>3424.4145323054349</v>
      </c>
      <c r="H35" s="23">
        <v>3649.2241665144425</v>
      </c>
      <c r="I35" s="23">
        <v>2761.3183183577589</v>
      </c>
      <c r="J35" s="23">
        <v>917.76473696554103</v>
      </c>
      <c r="K35" s="23">
        <v>3536.2313546251598</v>
      </c>
      <c r="L35" s="23">
        <v>4428.7007269923542</v>
      </c>
      <c r="M35" s="23">
        <v>2509.9372003256985</v>
      </c>
      <c r="N35" s="23">
        <v>2146.3393471720656</v>
      </c>
      <c r="O35" s="48">
        <v>0</v>
      </c>
      <c r="P35" s="48">
        <v>0</v>
      </c>
      <c r="Q35" s="48">
        <v>0</v>
      </c>
      <c r="R35" s="48">
        <v>0</v>
      </c>
      <c r="S35" s="48">
        <v>0</v>
      </c>
      <c r="T35" s="48">
        <v>0</v>
      </c>
      <c r="U35" s="48">
        <v>0</v>
      </c>
      <c r="V35" s="48">
        <v>0</v>
      </c>
      <c r="W35" s="48">
        <v>0</v>
      </c>
      <c r="X35" s="48">
        <v>0</v>
      </c>
      <c r="Y35" s="48">
        <v>0</v>
      </c>
      <c r="Z35" s="48">
        <v>0</v>
      </c>
    </row>
    <row r="36" spans="1:26" x14ac:dyDescent="0.3">
      <c r="A36" s="27" t="s">
        <v>10</v>
      </c>
      <c r="B36" s="34">
        <f t="shared" ref="B36:N36" si="8">B5+B9+B13+B17+B21+B25+B29+B33+B35</f>
        <v>89468.322930507842</v>
      </c>
      <c r="C36" s="34">
        <f t="shared" si="8"/>
        <v>168385.50683749345</v>
      </c>
      <c r="D36" s="34">
        <f t="shared" si="8"/>
        <v>211331.00419095601</v>
      </c>
      <c r="E36" s="34">
        <f t="shared" si="8"/>
        <v>160344.72898928096</v>
      </c>
      <c r="F36" s="34">
        <f t="shared" si="8"/>
        <v>144339.06022485573</v>
      </c>
      <c r="G36" s="34">
        <f t="shared" si="8"/>
        <v>191698.50191316073</v>
      </c>
      <c r="H36" s="34">
        <f t="shared" si="8"/>
        <v>211024.60551697999</v>
      </c>
      <c r="I36" s="34">
        <f t="shared" si="8"/>
        <v>189879.10080383945</v>
      </c>
      <c r="J36" s="34">
        <f t="shared" si="8"/>
        <v>112030.2380929425</v>
      </c>
      <c r="K36" s="34">
        <f t="shared" si="8"/>
        <v>205839.81494705111</v>
      </c>
      <c r="L36" s="34">
        <f t="shared" si="8"/>
        <v>289710.15562223364</v>
      </c>
      <c r="M36" s="34">
        <f t="shared" si="8"/>
        <v>188660.32394792029</v>
      </c>
      <c r="N36" s="34">
        <f t="shared" si="8"/>
        <v>159476.15675481889</v>
      </c>
      <c r="O36" s="75">
        <v>0</v>
      </c>
      <c r="P36" s="75">
        <v>0</v>
      </c>
      <c r="Q36" s="75">
        <v>0</v>
      </c>
      <c r="R36" s="75">
        <v>0</v>
      </c>
      <c r="S36" s="75">
        <v>0</v>
      </c>
      <c r="T36" s="75">
        <v>0</v>
      </c>
      <c r="U36" s="75">
        <v>0</v>
      </c>
      <c r="V36" s="75">
        <v>0</v>
      </c>
      <c r="W36" s="75">
        <v>0</v>
      </c>
      <c r="X36" s="75">
        <v>0</v>
      </c>
      <c r="Y36" s="76">
        <v>0</v>
      </c>
      <c r="Z36" s="76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4" sqref="A4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30" t="s">
        <v>0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/>
    </row>
    <row r="2" spans="1:27" ht="29.15" customHeight="1" x14ac:dyDescent="0.3">
      <c r="A2" s="84" t="s">
        <v>48</v>
      </c>
      <c r="B2" s="85">
        <v>168142.95269518925</v>
      </c>
      <c r="C2" s="85">
        <v>176213.3910344794</v>
      </c>
      <c r="D2" s="85">
        <v>183797.04964974552</v>
      </c>
      <c r="E2" s="85">
        <v>188097.33499598625</v>
      </c>
      <c r="F2" s="85">
        <v>195169.87089099811</v>
      </c>
      <c r="G2" s="85">
        <v>205630.11959630589</v>
      </c>
      <c r="H2" s="85">
        <v>219371.7267897749</v>
      </c>
      <c r="I2" s="85">
        <v>213132.14646400703</v>
      </c>
      <c r="J2" s="85">
        <v>226775.31416633673</v>
      </c>
      <c r="K2" s="85">
        <v>238177.54703184307</v>
      </c>
      <c r="L2" s="85">
        <v>253364.29098184008</v>
      </c>
      <c r="M2" s="85">
        <v>245838.12279105405</v>
      </c>
      <c r="N2" s="85">
        <v>262120.26923055129</v>
      </c>
      <c r="O2" s="85">
        <v>0</v>
      </c>
      <c r="P2" s="85">
        <v>0</v>
      </c>
      <c r="Q2" s="85">
        <v>0</v>
      </c>
      <c r="R2" s="85">
        <v>0</v>
      </c>
      <c r="S2" s="85">
        <v>0</v>
      </c>
      <c r="T2" s="85">
        <v>0</v>
      </c>
      <c r="U2" s="85">
        <v>0</v>
      </c>
      <c r="V2" s="85">
        <v>0</v>
      </c>
      <c r="W2" s="85">
        <v>0</v>
      </c>
      <c r="X2" s="85">
        <v>0</v>
      </c>
      <c r="Y2" s="85">
        <v>0</v>
      </c>
      <c r="Z2" s="85">
        <v>0</v>
      </c>
      <c r="AA2" s="85"/>
    </row>
    <row r="3" spans="1:27" ht="29.15" customHeight="1" x14ac:dyDescent="0.3">
      <c r="A3" s="84" t="s">
        <v>49</v>
      </c>
      <c r="B3" s="85">
        <v>109164.73109594014</v>
      </c>
      <c r="C3" s="85">
        <v>109364.8</v>
      </c>
      <c r="D3" s="85">
        <v>104862.03127593001</v>
      </c>
      <c r="E3" s="85">
        <v>107460.70783204175</v>
      </c>
      <c r="F3" s="85">
        <v>144869.31134359751</v>
      </c>
      <c r="G3" s="85">
        <v>158085.8680208546</v>
      </c>
      <c r="H3" s="85">
        <v>128120.81252859323</v>
      </c>
      <c r="I3" s="85">
        <v>110365.99498029456</v>
      </c>
      <c r="J3" s="85">
        <v>100237.62176769711</v>
      </c>
      <c r="K3" s="85">
        <v>143107.0116076436</v>
      </c>
      <c r="L3" s="85">
        <v>154871.78207848271</v>
      </c>
      <c r="M3" s="85">
        <v>149712.56572213367</v>
      </c>
      <c r="N3" s="85">
        <v>150175.74565049403</v>
      </c>
      <c r="O3" s="85">
        <v>0</v>
      </c>
      <c r="P3" s="85">
        <v>0</v>
      </c>
      <c r="Q3" s="85">
        <v>0</v>
      </c>
      <c r="R3" s="85">
        <v>0</v>
      </c>
      <c r="S3" s="85">
        <v>0</v>
      </c>
      <c r="T3" s="85">
        <v>0</v>
      </c>
      <c r="U3" s="85">
        <v>0</v>
      </c>
      <c r="V3" s="85">
        <v>0</v>
      </c>
      <c r="W3" s="85">
        <v>0</v>
      </c>
      <c r="X3" s="85">
        <v>0</v>
      </c>
      <c r="Y3" s="85">
        <v>0</v>
      </c>
      <c r="Z3" s="85">
        <v>0</v>
      </c>
      <c r="AA3" s="85"/>
    </row>
    <row r="4" spans="1:27" ht="29.15" customHeight="1" x14ac:dyDescent="0.3">
      <c r="A4" s="84" t="s">
        <v>50</v>
      </c>
      <c r="B4" s="85">
        <v>54982.535294664027</v>
      </c>
      <c r="C4" s="85">
        <v>21185.389800667006</v>
      </c>
      <c r="D4" s="85">
        <v>49077.648605494804</v>
      </c>
      <c r="E4" s="85">
        <v>6967.9673967445342</v>
      </c>
      <c r="F4" s="85">
        <v>20990.427847235434</v>
      </c>
      <c r="G4" s="85">
        <v>34687.193398158517</v>
      </c>
      <c r="H4" s="85">
        <v>36120.436180166136</v>
      </c>
      <c r="I4" s="85">
        <v>9803.0302230313246</v>
      </c>
      <c r="J4" s="85">
        <v>9235</v>
      </c>
      <c r="K4" s="85">
        <v>10863.810550512382</v>
      </c>
      <c r="L4" s="85">
        <v>12568</v>
      </c>
      <c r="M4" s="85">
        <v>11506</v>
      </c>
      <c r="N4" s="85">
        <v>14111</v>
      </c>
      <c r="O4" s="85">
        <v>0</v>
      </c>
      <c r="P4" s="85">
        <v>0</v>
      </c>
      <c r="Q4" s="85">
        <v>0</v>
      </c>
      <c r="R4" s="85">
        <v>0</v>
      </c>
      <c r="S4" s="85">
        <v>0</v>
      </c>
      <c r="T4" s="85">
        <v>0</v>
      </c>
      <c r="U4" s="85">
        <v>0</v>
      </c>
      <c r="V4" s="85">
        <v>0</v>
      </c>
      <c r="W4" s="85">
        <v>0</v>
      </c>
      <c r="X4" s="85">
        <v>0</v>
      </c>
      <c r="Y4" s="85">
        <v>0</v>
      </c>
      <c r="Z4" s="85">
        <v>0</v>
      </c>
      <c r="AA4" s="85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80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  <c r="AA1" s="55">
        <v>47119</v>
      </c>
      <c r="AB1" s="55">
        <v>47209</v>
      </c>
      <c r="AC1" s="55">
        <v>47300</v>
      </c>
      <c r="AD1" s="55">
        <v>47392</v>
      </c>
    </row>
    <row r="2" spans="1:30" ht="21" customHeight="1" x14ac:dyDescent="0.2">
      <c r="A2" s="87" t="s">
        <v>51</v>
      </c>
      <c r="B2" s="88">
        <v>658000</v>
      </c>
      <c r="C2" s="41">
        <v>676316.8798523274</v>
      </c>
      <c r="D2" s="41">
        <v>693311.75684388564</v>
      </c>
      <c r="E2" s="41">
        <v>706740.83785484126</v>
      </c>
      <c r="F2" s="41">
        <v>719109.22977609769</v>
      </c>
      <c r="G2" s="41">
        <v>781030.87430305802</v>
      </c>
      <c r="H2" s="41">
        <v>836012</v>
      </c>
      <c r="I2" s="41">
        <v>881245</v>
      </c>
      <c r="J2" s="41">
        <f>I3</f>
        <v>956145</v>
      </c>
      <c r="K2" s="41">
        <f t="shared" ref="K2:N2" si="0">J3</f>
        <v>986147</v>
      </c>
      <c r="L2" s="41">
        <f t="shared" si="0"/>
        <v>990116</v>
      </c>
      <c r="M2" s="41">
        <f t="shared" si="0"/>
        <v>997360</v>
      </c>
      <c r="N2" s="41">
        <f t="shared" si="0"/>
        <v>1002483</v>
      </c>
      <c r="O2" s="35">
        <v>0</v>
      </c>
      <c r="P2" s="35">
        <v>0</v>
      </c>
      <c r="Q2" s="35">
        <v>0</v>
      </c>
      <c r="R2" s="35">
        <v>0</v>
      </c>
      <c r="S2" s="35">
        <v>0</v>
      </c>
      <c r="T2" s="35">
        <v>0</v>
      </c>
      <c r="U2" s="35">
        <v>0</v>
      </c>
      <c r="V2" s="35">
        <v>0</v>
      </c>
      <c r="W2" s="35">
        <v>0</v>
      </c>
      <c r="X2" s="35">
        <v>0</v>
      </c>
      <c r="Y2" s="35">
        <v>0</v>
      </c>
      <c r="Z2" s="35">
        <v>0</v>
      </c>
      <c r="AA2" s="35">
        <v>0</v>
      </c>
      <c r="AB2" s="35">
        <v>0</v>
      </c>
      <c r="AC2" s="35">
        <v>0</v>
      </c>
      <c r="AD2" s="35">
        <v>0</v>
      </c>
    </row>
    <row r="3" spans="1:30" ht="21" customHeight="1" x14ac:dyDescent="0.2">
      <c r="A3" s="87" t="s">
        <v>52</v>
      </c>
      <c r="B3" s="88">
        <v>676316.8798523274</v>
      </c>
      <c r="C3" s="88">
        <v>693311.75684388564</v>
      </c>
      <c r="D3" s="88">
        <v>706740.83785484126</v>
      </c>
      <c r="E3" s="88">
        <v>719109.22977609769</v>
      </c>
      <c r="F3" s="88">
        <v>781030.87430305802</v>
      </c>
      <c r="G3" s="88">
        <v>836012</v>
      </c>
      <c r="H3" s="88">
        <v>881245</v>
      </c>
      <c r="I3" s="88">
        <v>956145</v>
      </c>
      <c r="J3" s="88">
        <v>986147</v>
      </c>
      <c r="K3" s="88">
        <v>990116</v>
      </c>
      <c r="L3" s="88">
        <v>997360</v>
      </c>
      <c r="M3" s="88">
        <v>1002483</v>
      </c>
      <c r="N3" s="88">
        <v>1005564</v>
      </c>
      <c r="O3" s="35">
        <v>0</v>
      </c>
      <c r="P3" s="35">
        <v>0</v>
      </c>
      <c r="Q3" s="35">
        <v>0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W3" s="35">
        <v>0</v>
      </c>
      <c r="X3" s="35">
        <v>0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</row>
    <row r="4" spans="1:30" ht="21" customHeight="1" x14ac:dyDescent="0.2">
      <c r="A4" s="87" t="s">
        <v>53</v>
      </c>
      <c r="B4" s="88">
        <v>201300</v>
      </c>
      <c r="C4" s="41">
        <v>198508.55254276737</v>
      </c>
      <c r="D4" s="41">
        <v>195666.02356999263</v>
      </c>
      <c r="E4" s="41">
        <v>192200.73349980466</v>
      </c>
      <c r="F4" s="41">
        <v>188698.1338687196</v>
      </c>
      <c r="G4" s="41">
        <v>185166.98395020451</v>
      </c>
      <c r="H4" s="41">
        <v>181911.09322249098</v>
      </c>
      <c r="I4" s="41">
        <v>178620.82244824988</v>
      </c>
      <c r="J4" s="41">
        <v>175380.91288236313</v>
      </c>
      <c r="K4" s="41">
        <v>172239.82434635572</v>
      </c>
      <c r="L4" s="41">
        <v>169208.97603590216</v>
      </c>
      <c r="M4" s="41">
        <v>166265.97211461779</v>
      </c>
      <c r="N4" s="41">
        <v>163376.86672538394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35">
        <v>0</v>
      </c>
      <c r="Z4" s="35">
        <v>0</v>
      </c>
      <c r="AA4" s="35">
        <v>0</v>
      </c>
      <c r="AB4" s="35">
        <v>0</v>
      </c>
      <c r="AC4" s="35">
        <v>0</v>
      </c>
      <c r="AD4" s="35">
        <v>0</v>
      </c>
    </row>
    <row r="5" spans="1:30" ht="21" customHeight="1" x14ac:dyDescent="0.2">
      <c r="A5" s="87" t="s">
        <v>54</v>
      </c>
      <c r="B5" s="88">
        <v>198508.55254276737</v>
      </c>
      <c r="C5" s="88">
        <v>195666.02356999263</v>
      </c>
      <c r="D5" s="88">
        <v>192200.73349980466</v>
      </c>
      <c r="E5" s="88">
        <v>188698.1338687196</v>
      </c>
      <c r="F5" s="88">
        <v>185166.98395020451</v>
      </c>
      <c r="G5" s="88">
        <v>181911.09322249098</v>
      </c>
      <c r="H5" s="88">
        <v>178620.82244824988</v>
      </c>
      <c r="I5" s="88">
        <v>175380.91288236313</v>
      </c>
      <c r="J5" s="88">
        <v>172239.82434635572</v>
      </c>
      <c r="K5" s="88">
        <v>169208.97603590216</v>
      </c>
      <c r="L5" s="88">
        <v>166265.97211461779</v>
      </c>
      <c r="M5" s="88">
        <v>163376.86672538394</v>
      </c>
      <c r="N5" s="88">
        <v>160592.17784613979</v>
      </c>
      <c r="O5" s="35">
        <v>0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</row>
    <row r="6" spans="1:30" ht="21" customHeight="1" x14ac:dyDescent="0.2">
      <c r="A6" s="87" t="s">
        <v>56</v>
      </c>
      <c r="B6" s="88">
        <v>11916</v>
      </c>
      <c r="C6" s="41">
        <v>12527</v>
      </c>
      <c r="D6" s="41">
        <v>15744</v>
      </c>
      <c r="E6" s="41">
        <v>16382</v>
      </c>
      <c r="F6" s="41">
        <v>16988</v>
      </c>
      <c r="G6" s="41">
        <v>16110</v>
      </c>
      <c r="H6" s="41">
        <v>16780</v>
      </c>
      <c r="I6" s="41">
        <v>17012</v>
      </c>
      <c r="J6" s="41">
        <v>16950</v>
      </c>
      <c r="K6" s="41">
        <v>16830</v>
      </c>
      <c r="L6" s="41">
        <v>16780</v>
      </c>
      <c r="M6" s="41">
        <v>16934</v>
      </c>
      <c r="N6" s="41">
        <v>16750</v>
      </c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spans="1:30" ht="21" customHeight="1" x14ac:dyDescent="0.2">
      <c r="A7" s="19" t="s">
        <v>55</v>
      </c>
      <c r="B7" s="89">
        <f>B3+B5-B2-B4</f>
        <v>15525.432395094773</v>
      </c>
      <c r="C7" s="89">
        <f t="shared" ref="C7:N7" si="1">C3+C5-C2-C4</f>
        <v>14152.348018783494</v>
      </c>
      <c r="D7" s="89">
        <f t="shared" si="1"/>
        <v>9963.7909407676198</v>
      </c>
      <c r="E7" s="89">
        <f t="shared" si="1"/>
        <v>8865.7922901713464</v>
      </c>
      <c r="F7" s="89">
        <f t="shared" si="1"/>
        <v>58390.49460844518</v>
      </c>
      <c r="G7" s="89">
        <f t="shared" si="1"/>
        <v>51725.234969228448</v>
      </c>
      <c r="H7" s="89">
        <f t="shared" si="1"/>
        <v>41942.729225758929</v>
      </c>
      <c r="I7" s="89">
        <f t="shared" si="1"/>
        <v>71660.090434113314</v>
      </c>
      <c r="J7" s="89">
        <f t="shared" si="1"/>
        <v>26860.911463992496</v>
      </c>
      <c r="K7" s="89">
        <f t="shared" si="1"/>
        <v>938.1516895465611</v>
      </c>
      <c r="L7" s="89">
        <f t="shared" si="1"/>
        <v>4300.9960787155433</v>
      </c>
      <c r="M7" s="89">
        <f t="shared" si="1"/>
        <v>2233.8946107662341</v>
      </c>
      <c r="N7" s="89">
        <f t="shared" si="1"/>
        <v>296.31112075582496</v>
      </c>
      <c r="O7" s="61">
        <f t="shared" ref="O7" si="2">O3+O5-O2-O4</f>
        <v>0</v>
      </c>
      <c r="P7" s="61">
        <f t="shared" ref="P7" si="3">P3+P5-P2-P4</f>
        <v>0</v>
      </c>
      <c r="Q7" s="61">
        <f t="shared" ref="Q7" si="4">Q3+Q5-Q2-Q4</f>
        <v>0</v>
      </c>
      <c r="R7" s="61">
        <f t="shared" ref="R7" si="5">R3+R5-R2-R4</f>
        <v>0</v>
      </c>
      <c r="S7" s="61">
        <f t="shared" ref="S7" si="6">S3+S5-S2-S4</f>
        <v>0</v>
      </c>
      <c r="T7" s="61">
        <f t="shared" ref="T7" si="7">T3+T5-T2-T4</f>
        <v>0</v>
      </c>
      <c r="U7" s="61">
        <f t="shared" ref="U7" si="8">U3+U5-U2-U4</f>
        <v>0</v>
      </c>
      <c r="V7" s="61">
        <f t="shared" ref="V7" si="9">V3+V5-V2-V4</f>
        <v>0</v>
      </c>
      <c r="W7" s="61">
        <f t="shared" ref="W7" si="10">W3+W5-W2-W4</f>
        <v>0</v>
      </c>
      <c r="X7" s="61">
        <f t="shared" ref="X7" si="11">X3+X5-X2-X4</f>
        <v>0</v>
      </c>
      <c r="Y7" s="61">
        <f t="shared" ref="Y7" si="12">Y3+Y5-Y2-Y4</f>
        <v>0</v>
      </c>
      <c r="Z7" s="61">
        <f t="shared" ref="Z7" si="13">Z3+Z5-Z2-Z4</f>
        <v>0</v>
      </c>
      <c r="AA7" s="61">
        <f t="shared" ref="AA7" si="14">AA3+AA5-AA2-AA4</f>
        <v>0</v>
      </c>
      <c r="AB7" s="61">
        <f t="shared" ref="AB7" si="15">AB3+AB5-AB2-AB4</f>
        <v>0</v>
      </c>
      <c r="AC7" s="61">
        <f t="shared" ref="AC7" si="16">AC3+AC5-AC2-AC4</f>
        <v>0</v>
      </c>
      <c r="AD7" s="61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B5" sqref="B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46</v>
      </c>
      <c r="B1" s="55">
        <v>44835</v>
      </c>
      <c r="C1" s="55">
        <v>44927</v>
      </c>
      <c r="D1" s="55">
        <v>45017</v>
      </c>
      <c r="E1" s="55">
        <v>45108</v>
      </c>
      <c r="F1" s="55">
        <v>45200</v>
      </c>
      <c r="G1" s="55">
        <v>45292</v>
      </c>
      <c r="H1" s="55">
        <v>45383</v>
      </c>
      <c r="I1" s="55">
        <v>45474</v>
      </c>
      <c r="J1" s="55">
        <v>45566</v>
      </c>
      <c r="K1" s="55">
        <v>45658</v>
      </c>
      <c r="L1" s="55">
        <v>45748</v>
      </c>
      <c r="M1" s="55">
        <v>45839</v>
      </c>
      <c r="N1" s="55">
        <v>45931</v>
      </c>
      <c r="O1" s="55">
        <v>46023</v>
      </c>
      <c r="P1" s="55">
        <v>46113</v>
      </c>
      <c r="Q1" s="55">
        <v>46204</v>
      </c>
      <c r="R1" s="55">
        <v>46296</v>
      </c>
      <c r="S1" s="55">
        <v>46388</v>
      </c>
      <c r="T1" s="55">
        <v>46478</v>
      </c>
      <c r="U1" s="55">
        <v>46569</v>
      </c>
      <c r="V1" s="55">
        <v>46661</v>
      </c>
      <c r="W1" s="55">
        <v>46753</v>
      </c>
      <c r="X1" s="55">
        <v>46844</v>
      </c>
      <c r="Y1" s="55">
        <v>46935</v>
      </c>
      <c r="Z1" s="55">
        <v>47027</v>
      </c>
    </row>
    <row r="2" spans="1:26" x14ac:dyDescent="0.2">
      <c r="A2" s="12" t="s">
        <v>60</v>
      </c>
      <c r="B2" s="42">
        <v>0</v>
      </c>
      <c r="C2" s="42">
        <f>B5</f>
        <v>0</v>
      </c>
      <c r="D2" s="42">
        <f t="shared" ref="D2:Z2" si="0">C5</f>
        <v>12000</v>
      </c>
      <c r="E2" s="42">
        <f t="shared" si="0"/>
        <v>0</v>
      </c>
      <c r="F2" s="42">
        <f t="shared" si="0"/>
        <v>0</v>
      </c>
      <c r="G2" s="42">
        <f t="shared" si="0"/>
        <v>2000</v>
      </c>
      <c r="H2" s="42">
        <f t="shared" si="0"/>
        <v>24000</v>
      </c>
      <c r="I2" s="42">
        <f t="shared" si="0"/>
        <v>28000</v>
      </c>
      <c r="J2" s="42">
        <f t="shared" si="0"/>
        <v>42000</v>
      </c>
      <c r="K2" s="42">
        <f t="shared" si="0"/>
        <v>42000</v>
      </c>
      <c r="L2" s="42">
        <f t="shared" si="0"/>
        <v>32000</v>
      </c>
      <c r="M2" s="42">
        <f t="shared" si="0"/>
        <v>0</v>
      </c>
      <c r="N2" s="42">
        <f t="shared" si="0"/>
        <v>0</v>
      </c>
      <c r="O2" s="42">
        <f t="shared" si="0"/>
        <v>0</v>
      </c>
      <c r="P2" s="42">
        <f t="shared" si="0"/>
        <v>0</v>
      </c>
      <c r="Q2" s="42">
        <f t="shared" si="0"/>
        <v>0</v>
      </c>
      <c r="R2" s="42">
        <f t="shared" si="0"/>
        <v>0</v>
      </c>
      <c r="S2" s="42">
        <f t="shared" si="0"/>
        <v>0</v>
      </c>
      <c r="T2" s="42">
        <f t="shared" si="0"/>
        <v>0</v>
      </c>
      <c r="U2" s="42">
        <f t="shared" si="0"/>
        <v>0</v>
      </c>
      <c r="V2" s="42">
        <f t="shared" si="0"/>
        <v>0</v>
      </c>
      <c r="W2" s="42">
        <f t="shared" si="0"/>
        <v>0</v>
      </c>
      <c r="X2" s="42">
        <f t="shared" si="0"/>
        <v>0</v>
      </c>
      <c r="Y2" s="42">
        <f t="shared" si="0"/>
        <v>0</v>
      </c>
      <c r="Z2" s="42">
        <f t="shared" si="0"/>
        <v>0</v>
      </c>
    </row>
    <row r="3" spans="1:26" x14ac:dyDescent="0.2">
      <c r="A3" s="12" t="s">
        <v>61</v>
      </c>
      <c r="B3" s="42">
        <v>0</v>
      </c>
      <c r="C3" s="42">
        <v>12000</v>
      </c>
      <c r="D3" s="42">
        <v>0</v>
      </c>
      <c r="E3" s="42">
        <v>0</v>
      </c>
      <c r="F3" s="42">
        <v>2000</v>
      </c>
      <c r="G3" s="42">
        <v>22000</v>
      </c>
      <c r="H3" s="42">
        <v>4000</v>
      </c>
      <c r="I3" s="42">
        <v>14000</v>
      </c>
      <c r="J3" s="42">
        <v>0</v>
      </c>
      <c r="K3" s="42">
        <v>0</v>
      </c>
      <c r="L3" s="42">
        <v>0</v>
      </c>
      <c r="M3" s="42">
        <v>0</v>
      </c>
      <c r="N3" s="42">
        <v>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">
      <c r="A4" s="12" t="s">
        <v>57</v>
      </c>
      <c r="B4" s="42">
        <v>0</v>
      </c>
      <c r="C4" s="42">
        <v>0</v>
      </c>
      <c r="D4" s="42">
        <v>12000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</v>
      </c>
      <c r="K4" s="42">
        <v>10000</v>
      </c>
      <c r="L4" s="42">
        <v>32000</v>
      </c>
      <c r="M4" s="42">
        <v>0</v>
      </c>
      <c r="N4" s="42">
        <v>0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">
      <c r="A5" s="12" t="s">
        <v>62</v>
      </c>
      <c r="B5" s="42">
        <f>B2+B3-B4</f>
        <v>0</v>
      </c>
      <c r="C5" s="42">
        <f t="shared" ref="C5:Z5" si="1">C2+C3-C4</f>
        <v>12000</v>
      </c>
      <c r="D5" s="42">
        <f t="shared" si="1"/>
        <v>0</v>
      </c>
      <c r="E5" s="42">
        <f t="shared" si="1"/>
        <v>0</v>
      </c>
      <c r="F5" s="42">
        <f t="shared" si="1"/>
        <v>2000</v>
      </c>
      <c r="G5" s="42">
        <f t="shared" si="1"/>
        <v>24000</v>
      </c>
      <c r="H5" s="42">
        <f t="shared" si="1"/>
        <v>28000</v>
      </c>
      <c r="I5" s="42">
        <f t="shared" si="1"/>
        <v>42000</v>
      </c>
      <c r="J5" s="42">
        <f t="shared" si="1"/>
        <v>42000</v>
      </c>
      <c r="K5" s="42">
        <f t="shared" si="1"/>
        <v>32000</v>
      </c>
      <c r="L5" s="42">
        <f t="shared" si="1"/>
        <v>0</v>
      </c>
      <c r="M5" s="42">
        <f t="shared" si="1"/>
        <v>0</v>
      </c>
      <c r="N5" s="42">
        <f t="shared" si="1"/>
        <v>0</v>
      </c>
      <c r="O5" s="42">
        <f t="shared" si="1"/>
        <v>0</v>
      </c>
      <c r="P5" s="42">
        <f t="shared" si="1"/>
        <v>0</v>
      </c>
      <c r="Q5" s="42">
        <f t="shared" si="1"/>
        <v>0</v>
      </c>
      <c r="R5" s="42">
        <f t="shared" si="1"/>
        <v>0</v>
      </c>
      <c r="S5" s="42">
        <f t="shared" si="1"/>
        <v>0</v>
      </c>
      <c r="T5" s="42">
        <f t="shared" si="1"/>
        <v>0</v>
      </c>
      <c r="U5" s="42">
        <f t="shared" si="1"/>
        <v>0</v>
      </c>
      <c r="V5" s="42">
        <f t="shared" si="1"/>
        <v>0</v>
      </c>
      <c r="W5" s="42">
        <f t="shared" si="1"/>
        <v>0</v>
      </c>
      <c r="X5" s="42">
        <f t="shared" si="1"/>
        <v>0</v>
      </c>
      <c r="Y5" s="42">
        <f t="shared" si="1"/>
        <v>0</v>
      </c>
      <c r="Z5" s="42">
        <f t="shared" si="1"/>
        <v>0</v>
      </c>
    </row>
    <row r="6" spans="1:26" x14ac:dyDescent="0.2">
      <c r="A6" s="12" t="s">
        <v>58</v>
      </c>
      <c r="B6" s="91">
        <v>0.19</v>
      </c>
      <c r="C6" s="91">
        <v>0.19</v>
      </c>
      <c r="D6" s="91">
        <v>0.19</v>
      </c>
      <c r="E6" s="91">
        <v>0.19</v>
      </c>
      <c r="F6" s="91">
        <v>0.19</v>
      </c>
      <c r="G6" s="91">
        <v>0.19</v>
      </c>
      <c r="H6" s="91">
        <v>0.19</v>
      </c>
      <c r="I6" s="91">
        <v>0.19</v>
      </c>
      <c r="J6" s="91">
        <v>0.19</v>
      </c>
      <c r="K6" s="91">
        <v>0.19</v>
      </c>
      <c r="L6" s="91">
        <v>0.19</v>
      </c>
      <c r="M6" s="91">
        <v>0.19</v>
      </c>
      <c r="N6" s="91">
        <v>0.19</v>
      </c>
      <c r="O6" s="91">
        <v>0.19</v>
      </c>
      <c r="P6" s="91">
        <v>0.19</v>
      </c>
      <c r="Q6" s="91">
        <v>0.19</v>
      </c>
      <c r="R6" s="91">
        <v>0.19</v>
      </c>
      <c r="S6" s="91">
        <v>0.19</v>
      </c>
      <c r="T6" s="91">
        <v>0.19</v>
      </c>
      <c r="U6" s="91">
        <v>0.19</v>
      </c>
      <c r="V6" s="91">
        <v>0.19</v>
      </c>
      <c r="W6" s="91">
        <v>0.19</v>
      </c>
      <c r="X6" s="91">
        <v>0.19</v>
      </c>
      <c r="Y6" s="91">
        <v>0.19</v>
      </c>
      <c r="Z6" s="91">
        <v>0.19</v>
      </c>
    </row>
    <row r="7" spans="1:26" x14ac:dyDescent="0.2">
      <c r="A7" s="12" t="s">
        <v>59</v>
      </c>
      <c r="B7" s="42">
        <f>(B2+B5)*B6/2</f>
        <v>0</v>
      </c>
      <c r="C7" s="42">
        <f t="shared" ref="C7:F7" si="2">(C2+C5)*C6/2</f>
        <v>1140</v>
      </c>
      <c r="D7" s="42">
        <f t="shared" si="2"/>
        <v>1140</v>
      </c>
      <c r="E7" s="42">
        <f t="shared" si="2"/>
        <v>0</v>
      </c>
      <c r="F7" s="42">
        <f t="shared" si="2"/>
        <v>190</v>
      </c>
      <c r="G7" s="42">
        <f t="shared" ref="G7" si="3">(G2+G5)*G6/2</f>
        <v>2470</v>
      </c>
      <c r="H7" s="42">
        <f t="shared" ref="H7" si="4">(H2+H5)*H6/2</f>
        <v>4940</v>
      </c>
      <c r="I7" s="42">
        <f t="shared" ref="I7:J7" si="5">(I2+I5)*I6/2</f>
        <v>6650</v>
      </c>
      <c r="J7" s="42">
        <f t="shared" si="5"/>
        <v>7980</v>
      </c>
      <c r="K7" s="42">
        <f t="shared" ref="K7" si="6">(K2+K5)*K6/2</f>
        <v>7030</v>
      </c>
      <c r="L7" s="42">
        <f t="shared" ref="L7" si="7">(L2+L5)*L6/2</f>
        <v>3040</v>
      </c>
      <c r="M7" s="42">
        <f t="shared" ref="M7:N7" si="8">(M2+M5)*M6/2</f>
        <v>0</v>
      </c>
      <c r="N7" s="42">
        <f t="shared" si="8"/>
        <v>0</v>
      </c>
      <c r="O7" s="42">
        <f t="shared" ref="O7" si="9">(O2+O5)*O6/2</f>
        <v>0</v>
      </c>
      <c r="P7" s="42">
        <f t="shared" ref="P7" si="10">(P2+P5)*P6/2</f>
        <v>0</v>
      </c>
      <c r="Q7" s="42">
        <f t="shared" ref="Q7:R7" si="11">(Q2+Q5)*Q6/2</f>
        <v>0</v>
      </c>
      <c r="R7" s="42">
        <f t="shared" si="11"/>
        <v>0</v>
      </c>
      <c r="S7" s="42">
        <f t="shared" ref="S7" si="12">(S2+S5)*S6/2</f>
        <v>0</v>
      </c>
      <c r="T7" s="42">
        <f t="shared" ref="T7" si="13">(T2+T5)*T6/2</f>
        <v>0</v>
      </c>
      <c r="U7" s="42">
        <f t="shared" ref="U7:V7" si="14">(U2+U5)*U6/2</f>
        <v>0</v>
      </c>
      <c r="V7" s="42">
        <f t="shared" si="14"/>
        <v>0</v>
      </c>
      <c r="W7" s="42">
        <f t="shared" ref="W7" si="15">(W2+W5)*W6/2</f>
        <v>0</v>
      </c>
      <c r="X7" s="42">
        <f t="shared" ref="X7" si="16">(X2+X5)*X6/2</f>
        <v>0</v>
      </c>
      <c r="Y7" s="42">
        <f t="shared" ref="Y7:Z7" si="17">(Y2+Y5)*Y6/2</f>
        <v>0</v>
      </c>
      <c r="Z7" s="42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selection activeCell="C19" sqref="C19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93" t="s">
        <v>63</v>
      </c>
      <c r="B1" s="93" t="s">
        <v>64</v>
      </c>
    </row>
    <row r="2" spans="1:2" x14ac:dyDescent="0.3">
      <c r="A2" s="94">
        <v>1</v>
      </c>
      <c r="B2" s="93" t="s">
        <v>1</v>
      </c>
    </row>
    <row r="3" spans="1:2" x14ac:dyDescent="0.3">
      <c r="A3" s="94">
        <v>2</v>
      </c>
      <c r="B3" s="93" t="s">
        <v>3</v>
      </c>
    </row>
    <row r="4" spans="1:2" x14ac:dyDescent="0.3">
      <c r="A4" s="94">
        <v>3</v>
      </c>
      <c r="B4" s="93" t="s">
        <v>4</v>
      </c>
    </row>
    <row r="5" spans="1:2" x14ac:dyDescent="0.3">
      <c r="A5" s="94">
        <v>4</v>
      </c>
      <c r="B5" s="93" t="s">
        <v>5</v>
      </c>
    </row>
    <row r="6" spans="1:2" x14ac:dyDescent="0.3">
      <c r="A6" s="94">
        <v>5</v>
      </c>
      <c r="B6" s="93" t="s">
        <v>6</v>
      </c>
    </row>
    <row r="7" spans="1:2" x14ac:dyDescent="0.3">
      <c r="A7" s="94">
        <v>6</v>
      </c>
      <c r="B7" s="93" t="s">
        <v>7</v>
      </c>
    </row>
    <row r="8" spans="1:2" x14ac:dyDescent="0.3">
      <c r="A8" s="94">
        <v>7</v>
      </c>
      <c r="B8" s="93" t="s">
        <v>8</v>
      </c>
    </row>
    <row r="9" spans="1:2" x14ac:dyDescent="0.3">
      <c r="A9" s="94">
        <v>8</v>
      </c>
      <c r="B9" s="93" t="s">
        <v>9</v>
      </c>
    </row>
    <row r="10" spans="1:2" x14ac:dyDescent="0.3">
      <c r="A10" s="94">
        <v>9</v>
      </c>
      <c r="B10" s="93" t="s">
        <v>2</v>
      </c>
    </row>
    <row r="11" spans="1:2" x14ac:dyDescent="0.3">
      <c r="A11" s="94">
        <v>10</v>
      </c>
      <c r="B11" s="93" t="s">
        <v>10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E13" sqref="E13"/>
    </sheetView>
  </sheetViews>
  <sheetFormatPr defaultColWidth="8.88671875" defaultRowHeight="11.3" x14ac:dyDescent="0.2"/>
  <cols>
    <col min="1" max="1" width="38.109375" style="13" customWidth="1"/>
    <col min="2" max="2" width="21.33203125" style="13" customWidth="1"/>
    <col min="3" max="3" width="12.44140625" style="13" customWidth="1"/>
    <col min="4" max="4" width="11.44140625" style="13" customWidth="1"/>
    <col min="5" max="5" width="13.109375" style="13" customWidth="1"/>
    <col min="6" max="6" width="9.5546875" style="13" customWidth="1"/>
    <col min="7" max="7" width="11.44140625" style="13" customWidth="1"/>
    <col min="8" max="8" width="14" style="13" customWidth="1"/>
    <col min="9" max="9" width="12" style="13" customWidth="1"/>
    <col min="10" max="10" width="14.5546875" style="13" customWidth="1"/>
    <col min="11" max="11" width="13" style="13" customWidth="1"/>
    <col min="12" max="12" width="14" style="13" customWidth="1"/>
    <col min="13" max="13" width="12" style="13" customWidth="1"/>
    <col min="14" max="14" width="10" style="13" customWidth="1"/>
    <col min="15" max="15" width="13" style="13" customWidth="1"/>
    <col min="16" max="16" width="14" style="13" customWidth="1"/>
    <col min="17" max="17" width="12" style="13" customWidth="1"/>
    <col min="18" max="18" width="10" style="13" customWidth="1"/>
    <col min="19" max="19" width="13" style="13" customWidth="1"/>
    <col min="20" max="20" width="14" style="13" customWidth="1"/>
    <col min="21" max="21" width="12" style="13" customWidth="1"/>
    <col min="22" max="22" width="10" style="13" customWidth="1"/>
    <col min="23" max="23" width="13" style="13" customWidth="1"/>
    <col min="24" max="24" width="14" style="13" customWidth="1"/>
    <col min="25" max="25" width="12" style="13" customWidth="1"/>
    <col min="26" max="26" width="10" style="13" customWidth="1"/>
    <col min="27" max="27" width="13" style="13" customWidth="1"/>
    <col min="28" max="224" width="8.88671875" style="13"/>
    <col min="225" max="225" width="66.5546875" style="13" bestFit="1" customWidth="1"/>
    <col min="226" max="226" width="11.5546875" style="13" bestFit="1" customWidth="1"/>
    <col min="227" max="227" width="8.88671875" style="13" bestFit="1" customWidth="1"/>
    <col min="228" max="228" width="10" style="13" customWidth="1"/>
    <col min="229" max="229" width="12.109375" style="13" bestFit="1" customWidth="1"/>
    <col min="230" max="230" width="13.88671875" style="13" bestFit="1" customWidth="1"/>
    <col min="231" max="231" width="13.44140625" style="13" customWidth="1"/>
    <col min="232" max="232" width="12.109375" style="13" customWidth="1"/>
    <col min="233" max="233" width="11.88671875" style="13" customWidth="1"/>
    <col min="234" max="234" width="12.44140625" style="13" customWidth="1"/>
    <col min="235" max="235" width="11.44140625" style="13" customWidth="1"/>
    <col min="236" max="236" width="13.109375" style="13" bestFit="1" customWidth="1"/>
    <col min="237" max="237" width="9.5546875" style="13" bestFit="1" customWidth="1"/>
    <col min="238" max="238" width="11.44140625" style="13" customWidth="1"/>
    <col min="239" max="239" width="9.109375" style="13" customWidth="1"/>
    <col min="240" max="241" width="10" style="13" customWidth="1"/>
    <col min="242" max="242" width="10.88671875" style="13" bestFit="1" customWidth="1"/>
    <col min="243" max="480" width="8.88671875" style="13"/>
    <col min="481" max="481" width="66.5546875" style="13" bestFit="1" customWidth="1"/>
    <col min="482" max="482" width="11.5546875" style="13" bestFit="1" customWidth="1"/>
    <col min="483" max="483" width="8.88671875" style="13" bestFit="1" customWidth="1"/>
    <col min="484" max="484" width="10" style="13" customWidth="1"/>
    <col min="485" max="485" width="12.109375" style="13" bestFit="1" customWidth="1"/>
    <col min="486" max="486" width="13.88671875" style="13" bestFit="1" customWidth="1"/>
    <col min="487" max="487" width="13.44140625" style="13" customWidth="1"/>
    <col min="488" max="488" width="12.109375" style="13" customWidth="1"/>
    <col min="489" max="489" width="11.88671875" style="13" customWidth="1"/>
    <col min="490" max="490" width="12.44140625" style="13" customWidth="1"/>
    <col min="491" max="491" width="11.44140625" style="13" customWidth="1"/>
    <col min="492" max="492" width="13.109375" style="13" bestFit="1" customWidth="1"/>
    <col min="493" max="493" width="9.5546875" style="13" bestFit="1" customWidth="1"/>
    <col min="494" max="494" width="11.44140625" style="13" customWidth="1"/>
    <col min="495" max="495" width="9.109375" style="13" customWidth="1"/>
    <col min="496" max="497" width="10" style="13" customWidth="1"/>
    <col min="498" max="498" width="10.88671875" style="13" bestFit="1" customWidth="1"/>
    <col min="499" max="736" width="8.88671875" style="13"/>
    <col min="737" max="737" width="66.5546875" style="13" bestFit="1" customWidth="1"/>
    <col min="738" max="738" width="11.5546875" style="13" bestFit="1" customWidth="1"/>
    <col min="739" max="739" width="8.88671875" style="13" bestFit="1" customWidth="1"/>
    <col min="740" max="740" width="10" style="13" customWidth="1"/>
    <col min="741" max="741" width="12.109375" style="13" bestFit="1" customWidth="1"/>
    <col min="742" max="742" width="13.88671875" style="13" bestFit="1" customWidth="1"/>
    <col min="743" max="743" width="13.44140625" style="13" customWidth="1"/>
    <col min="744" max="744" width="12.109375" style="13" customWidth="1"/>
    <col min="745" max="745" width="11.88671875" style="13" customWidth="1"/>
    <col min="746" max="746" width="12.44140625" style="13" customWidth="1"/>
    <col min="747" max="747" width="11.44140625" style="13" customWidth="1"/>
    <col min="748" max="748" width="13.109375" style="13" bestFit="1" customWidth="1"/>
    <col min="749" max="749" width="9.5546875" style="13" bestFit="1" customWidth="1"/>
    <col min="750" max="750" width="11.44140625" style="13" customWidth="1"/>
    <col min="751" max="751" width="9.109375" style="13" customWidth="1"/>
    <col min="752" max="753" width="10" style="13" customWidth="1"/>
    <col min="754" max="754" width="10.88671875" style="13" bestFit="1" customWidth="1"/>
    <col min="755" max="992" width="8.88671875" style="13"/>
    <col min="993" max="993" width="66.5546875" style="13" bestFit="1" customWidth="1"/>
    <col min="994" max="994" width="11.5546875" style="13" bestFit="1" customWidth="1"/>
    <col min="995" max="995" width="8.88671875" style="13" bestFit="1" customWidth="1"/>
    <col min="996" max="996" width="10" style="13" customWidth="1"/>
    <col min="997" max="997" width="12.109375" style="13" bestFit="1" customWidth="1"/>
    <col min="998" max="998" width="13.88671875" style="13" bestFit="1" customWidth="1"/>
    <col min="999" max="999" width="13.44140625" style="13" customWidth="1"/>
    <col min="1000" max="1000" width="12.109375" style="13" customWidth="1"/>
    <col min="1001" max="1001" width="11.88671875" style="13" customWidth="1"/>
    <col min="1002" max="1002" width="12.44140625" style="13" customWidth="1"/>
    <col min="1003" max="1003" width="11.44140625" style="13" customWidth="1"/>
    <col min="1004" max="1004" width="13.109375" style="13" bestFit="1" customWidth="1"/>
    <col min="1005" max="1005" width="9.5546875" style="13" bestFit="1" customWidth="1"/>
    <col min="1006" max="1006" width="11.44140625" style="13" customWidth="1"/>
    <col min="1007" max="1007" width="9.109375" style="13" customWidth="1"/>
    <col min="1008" max="1009" width="10" style="13" customWidth="1"/>
    <col min="1010" max="1010" width="10.88671875" style="13" bestFit="1" customWidth="1"/>
    <col min="1011" max="1248" width="8.88671875" style="13"/>
    <col min="1249" max="1249" width="66.5546875" style="13" bestFit="1" customWidth="1"/>
    <col min="1250" max="1250" width="11.5546875" style="13" bestFit="1" customWidth="1"/>
    <col min="1251" max="1251" width="8.88671875" style="13" bestFit="1" customWidth="1"/>
    <col min="1252" max="1252" width="10" style="13" customWidth="1"/>
    <col min="1253" max="1253" width="12.109375" style="13" bestFit="1" customWidth="1"/>
    <col min="1254" max="1254" width="13.88671875" style="13" bestFit="1" customWidth="1"/>
    <col min="1255" max="1255" width="13.44140625" style="13" customWidth="1"/>
    <col min="1256" max="1256" width="12.109375" style="13" customWidth="1"/>
    <col min="1257" max="1257" width="11.88671875" style="13" customWidth="1"/>
    <col min="1258" max="1258" width="12.44140625" style="13" customWidth="1"/>
    <col min="1259" max="1259" width="11.44140625" style="13" customWidth="1"/>
    <col min="1260" max="1260" width="13.109375" style="13" bestFit="1" customWidth="1"/>
    <col min="1261" max="1261" width="9.5546875" style="13" bestFit="1" customWidth="1"/>
    <col min="1262" max="1262" width="11.44140625" style="13" customWidth="1"/>
    <col min="1263" max="1263" width="9.109375" style="13" customWidth="1"/>
    <col min="1264" max="1265" width="10" style="13" customWidth="1"/>
    <col min="1266" max="1266" width="10.88671875" style="13" bestFit="1" customWidth="1"/>
    <col min="1267" max="1504" width="8.88671875" style="13"/>
    <col min="1505" max="1505" width="66.5546875" style="13" bestFit="1" customWidth="1"/>
    <col min="1506" max="1506" width="11.5546875" style="13" bestFit="1" customWidth="1"/>
    <col min="1507" max="1507" width="8.88671875" style="13" bestFit="1" customWidth="1"/>
    <col min="1508" max="1508" width="10" style="13" customWidth="1"/>
    <col min="1509" max="1509" width="12.109375" style="13" bestFit="1" customWidth="1"/>
    <col min="1510" max="1510" width="13.88671875" style="13" bestFit="1" customWidth="1"/>
    <col min="1511" max="1511" width="13.44140625" style="13" customWidth="1"/>
    <col min="1512" max="1512" width="12.109375" style="13" customWidth="1"/>
    <col min="1513" max="1513" width="11.88671875" style="13" customWidth="1"/>
    <col min="1514" max="1514" width="12.44140625" style="13" customWidth="1"/>
    <col min="1515" max="1515" width="11.44140625" style="13" customWidth="1"/>
    <col min="1516" max="1516" width="13.109375" style="13" bestFit="1" customWidth="1"/>
    <col min="1517" max="1517" width="9.5546875" style="13" bestFit="1" customWidth="1"/>
    <col min="1518" max="1518" width="11.44140625" style="13" customWidth="1"/>
    <col min="1519" max="1519" width="9.109375" style="13" customWidth="1"/>
    <col min="1520" max="1521" width="10" style="13" customWidth="1"/>
    <col min="1522" max="1522" width="10.88671875" style="13" bestFit="1" customWidth="1"/>
    <col min="1523" max="1760" width="8.88671875" style="13"/>
    <col min="1761" max="1761" width="66.5546875" style="13" bestFit="1" customWidth="1"/>
    <col min="1762" max="1762" width="11.5546875" style="13" bestFit="1" customWidth="1"/>
    <col min="1763" max="1763" width="8.88671875" style="13" bestFit="1" customWidth="1"/>
    <col min="1764" max="1764" width="10" style="13" customWidth="1"/>
    <col min="1765" max="1765" width="12.109375" style="13" bestFit="1" customWidth="1"/>
    <col min="1766" max="1766" width="13.88671875" style="13" bestFit="1" customWidth="1"/>
    <col min="1767" max="1767" width="13.44140625" style="13" customWidth="1"/>
    <col min="1768" max="1768" width="12.109375" style="13" customWidth="1"/>
    <col min="1769" max="1769" width="11.88671875" style="13" customWidth="1"/>
    <col min="1770" max="1770" width="12.44140625" style="13" customWidth="1"/>
    <col min="1771" max="1771" width="11.44140625" style="13" customWidth="1"/>
    <col min="1772" max="1772" width="13.109375" style="13" bestFit="1" customWidth="1"/>
    <col min="1773" max="1773" width="9.5546875" style="13" bestFit="1" customWidth="1"/>
    <col min="1774" max="1774" width="11.44140625" style="13" customWidth="1"/>
    <col min="1775" max="1775" width="9.109375" style="13" customWidth="1"/>
    <col min="1776" max="1777" width="10" style="13" customWidth="1"/>
    <col min="1778" max="1778" width="10.88671875" style="13" bestFit="1" customWidth="1"/>
    <col min="1779" max="2016" width="8.88671875" style="13"/>
    <col min="2017" max="2017" width="66.5546875" style="13" bestFit="1" customWidth="1"/>
    <col min="2018" max="2018" width="11.5546875" style="13" bestFit="1" customWidth="1"/>
    <col min="2019" max="2019" width="8.88671875" style="13" bestFit="1" customWidth="1"/>
    <col min="2020" max="2020" width="10" style="13" customWidth="1"/>
    <col min="2021" max="2021" width="12.109375" style="13" bestFit="1" customWidth="1"/>
    <col min="2022" max="2022" width="13.88671875" style="13" bestFit="1" customWidth="1"/>
    <col min="2023" max="2023" width="13.44140625" style="13" customWidth="1"/>
    <col min="2024" max="2024" width="12.109375" style="13" customWidth="1"/>
    <col min="2025" max="2025" width="11.88671875" style="13" customWidth="1"/>
    <col min="2026" max="2026" width="12.44140625" style="13" customWidth="1"/>
    <col min="2027" max="2027" width="11.44140625" style="13" customWidth="1"/>
    <col min="2028" max="2028" width="13.109375" style="13" bestFit="1" customWidth="1"/>
    <col min="2029" max="2029" width="9.5546875" style="13" bestFit="1" customWidth="1"/>
    <col min="2030" max="2030" width="11.44140625" style="13" customWidth="1"/>
    <col min="2031" max="2031" width="9.109375" style="13" customWidth="1"/>
    <col min="2032" max="2033" width="10" style="13" customWidth="1"/>
    <col min="2034" max="2034" width="10.88671875" style="13" bestFit="1" customWidth="1"/>
    <col min="2035" max="2272" width="8.88671875" style="13"/>
    <col min="2273" max="2273" width="66.5546875" style="13" bestFit="1" customWidth="1"/>
    <col min="2274" max="2274" width="11.5546875" style="13" bestFit="1" customWidth="1"/>
    <col min="2275" max="2275" width="8.88671875" style="13" bestFit="1" customWidth="1"/>
    <col min="2276" max="2276" width="10" style="13" customWidth="1"/>
    <col min="2277" max="2277" width="12.109375" style="13" bestFit="1" customWidth="1"/>
    <col min="2278" max="2278" width="13.88671875" style="13" bestFit="1" customWidth="1"/>
    <col min="2279" max="2279" width="13.44140625" style="13" customWidth="1"/>
    <col min="2280" max="2280" width="12.109375" style="13" customWidth="1"/>
    <col min="2281" max="2281" width="11.88671875" style="13" customWidth="1"/>
    <col min="2282" max="2282" width="12.44140625" style="13" customWidth="1"/>
    <col min="2283" max="2283" width="11.44140625" style="13" customWidth="1"/>
    <col min="2284" max="2284" width="13.109375" style="13" bestFit="1" customWidth="1"/>
    <col min="2285" max="2285" width="9.5546875" style="13" bestFit="1" customWidth="1"/>
    <col min="2286" max="2286" width="11.44140625" style="13" customWidth="1"/>
    <col min="2287" max="2287" width="9.109375" style="13" customWidth="1"/>
    <col min="2288" max="2289" width="10" style="13" customWidth="1"/>
    <col min="2290" max="2290" width="10.88671875" style="13" bestFit="1" customWidth="1"/>
    <col min="2291" max="2528" width="8.88671875" style="13"/>
    <col min="2529" max="2529" width="66.5546875" style="13" bestFit="1" customWidth="1"/>
    <col min="2530" max="2530" width="11.5546875" style="13" bestFit="1" customWidth="1"/>
    <col min="2531" max="2531" width="8.88671875" style="13" bestFit="1" customWidth="1"/>
    <col min="2532" max="2532" width="10" style="13" customWidth="1"/>
    <col min="2533" max="2533" width="12.109375" style="13" bestFit="1" customWidth="1"/>
    <col min="2534" max="2534" width="13.88671875" style="13" bestFit="1" customWidth="1"/>
    <col min="2535" max="2535" width="13.44140625" style="13" customWidth="1"/>
    <col min="2536" max="2536" width="12.109375" style="13" customWidth="1"/>
    <col min="2537" max="2537" width="11.88671875" style="13" customWidth="1"/>
    <col min="2538" max="2538" width="12.44140625" style="13" customWidth="1"/>
    <col min="2539" max="2539" width="11.44140625" style="13" customWidth="1"/>
    <col min="2540" max="2540" width="13.109375" style="13" bestFit="1" customWidth="1"/>
    <col min="2541" max="2541" width="9.5546875" style="13" bestFit="1" customWidth="1"/>
    <col min="2542" max="2542" width="11.44140625" style="13" customWidth="1"/>
    <col min="2543" max="2543" width="9.109375" style="13" customWidth="1"/>
    <col min="2544" max="2545" width="10" style="13" customWidth="1"/>
    <col min="2546" max="2546" width="10.88671875" style="13" bestFit="1" customWidth="1"/>
    <col min="2547" max="2784" width="8.88671875" style="13"/>
    <col min="2785" max="2785" width="66.5546875" style="13" bestFit="1" customWidth="1"/>
    <col min="2786" max="2786" width="11.5546875" style="13" bestFit="1" customWidth="1"/>
    <col min="2787" max="2787" width="8.88671875" style="13" bestFit="1" customWidth="1"/>
    <col min="2788" max="2788" width="10" style="13" customWidth="1"/>
    <col min="2789" max="2789" width="12.109375" style="13" bestFit="1" customWidth="1"/>
    <col min="2790" max="2790" width="13.88671875" style="13" bestFit="1" customWidth="1"/>
    <col min="2791" max="2791" width="13.44140625" style="13" customWidth="1"/>
    <col min="2792" max="2792" width="12.109375" style="13" customWidth="1"/>
    <col min="2793" max="2793" width="11.88671875" style="13" customWidth="1"/>
    <col min="2794" max="2794" width="12.44140625" style="13" customWidth="1"/>
    <col min="2795" max="2795" width="11.44140625" style="13" customWidth="1"/>
    <col min="2796" max="2796" width="13.109375" style="13" bestFit="1" customWidth="1"/>
    <col min="2797" max="2797" width="9.5546875" style="13" bestFit="1" customWidth="1"/>
    <col min="2798" max="2798" width="11.44140625" style="13" customWidth="1"/>
    <col min="2799" max="2799" width="9.109375" style="13" customWidth="1"/>
    <col min="2800" max="2801" width="10" style="13" customWidth="1"/>
    <col min="2802" max="2802" width="10.88671875" style="13" bestFit="1" customWidth="1"/>
    <col min="2803" max="3040" width="8.88671875" style="13"/>
    <col min="3041" max="3041" width="66.5546875" style="13" bestFit="1" customWidth="1"/>
    <col min="3042" max="3042" width="11.5546875" style="13" bestFit="1" customWidth="1"/>
    <col min="3043" max="3043" width="8.88671875" style="13" bestFit="1" customWidth="1"/>
    <col min="3044" max="3044" width="10" style="13" customWidth="1"/>
    <col min="3045" max="3045" width="12.109375" style="13" bestFit="1" customWidth="1"/>
    <col min="3046" max="3046" width="13.88671875" style="13" bestFit="1" customWidth="1"/>
    <col min="3047" max="3047" width="13.44140625" style="13" customWidth="1"/>
    <col min="3048" max="3048" width="12.109375" style="13" customWidth="1"/>
    <col min="3049" max="3049" width="11.88671875" style="13" customWidth="1"/>
    <col min="3050" max="3050" width="12.44140625" style="13" customWidth="1"/>
    <col min="3051" max="3051" width="11.44140625" style="13" customWidth="1"/>
    <col min="3052" max="3052" width="13.109375" style="13" bestFit="1" customWidth="1"/>
    <col min="3053" max="3053" width="9.5546875" style="13" bestFit="1" customWidth="1"/>
    <col min="3054" max="3054" width="11.44140625" style="13" customWidth="1"/>
    <col min="3055" max="3055" width="9.109375" style="13" customWidth="1"/>
    <col min="3056" max="3057" width="10" style="13" customWidth="1"/>
    <col min="3058" max="3058" width="10.88671875" style="13" bestFit="1" customWidth="1"/>
    <col min="3059" max="3296" width="8.88671875" style="13"/>
    <col min="3297" max="3297" width="66.5546875" style="13" bestFit="1" customWidth="1"/>
    <col min="3298" max="3298" width="11.5546875" style="13" bestFit="1" customWidth="1"/>
    <col min="3299" max="3299" width="8.88671875" style="13" bestFit="1" customWidth="1"/>
    <col min="3300" max="3300" width="10" style="13" customWidth="1"/>
    <col min="3301" max="3301" width="12.109375" style="13" bestFit="1" customWidth="1"/>
    <col min="3302" max="3302" width="13.88671875" style="13" bestFit="1" customWidth="1"/>
    <col min="3303" max="3303" width="13.44140625" style="13" customWidth="1"/>
    <col min="3304" max="3304" width="12.109375" style="13" customWidth="1"/>
    <col min="3305" max="3305" width="11.88671875" style="13" customWidth="1"/>
    <col min="3306" max="3306" width="12.44140625" style="13" customWidth="1"/>
    <col min="3307" max="3307" width="11.44140625" style="13" customWidth="1"/>
    <col min="3308" max="3308" width="13.109375" style="13" bestFit="1" customWidth="1"/>
    <col min="3309" max="3309" width="9.5546875" style="13" bestFit="1" customWidth="1"/>
    <col min="3310" max="3310" width="11.44140625" style="13" customWidth="1"/>
    <col min="3311" max="3311" width="9.109375" style="13" customWidth="1"/>
    <col min="3312" max="3313" width="10" style="13" customWidth="1"/>
    <col min="3314" max="3314" width="10.88671875" style="13" bestFit="1" customWidth="1"/>
    <col min="3315" max="3552" width="8.88671875" style="13"/>
    <col min="3553" max="3553" width="66.5546875" style="13" bestFit="1" customWidth="1"/>
    <col min="3554" max="3554" width="11.5546875" style="13" bestFit="1" customWidth="1"/>
    <col min="3555" max="3555" width="8.88671875" style="13" bestFit="1" customWidth="1"/>
    <col min="3556" max="3556" width="10" style="13" customWidth="1"/>
    <col min="3557" max="3557" width="12.109375" style="13" bestFit="1" customWidth="1"/>
    <col min="3558" max="3558" width="13.88671875" style="13" bestFit="1" customWidth="1"/>
    <col min="3559" max="3559" width="13.44140625" style="13" customWidth="1"/>
    <col min="3560" max="3560" width="12.109375" style="13" customWidth="1"/>
    <col min="3561" max="3561" width="11.88671875" style="13" customWidth="1"/>
    <col min="3562" max="3562" width="12.44140625" style="13" customWidth="1"/>
    <col min="3563" max="3563" width="11.44140625" style="13" customWidth="1"/>
    <col min="3564" max="3564" width="13.109375" style="13" bestFit="1" customWidth="1"/>
    <col min="3565" max="3565" width="9.5546875" style="13" bestFit="1" customWidth="1"/>
    <col min="3566" max="3566" width="11.44140625" style="13" customWidth="1"/>
    <col min="3567" max="3567" width="9.109375" style="13" customWidth="1"/>
    <col min="3568" max="3569" width="10" style="13" customWidth="1"/>
    <col min="3570" max="3570" width="10.88671875" style="13" bestFit="1" customWidth="1"/>
    <col min="3571" max="3808" width="8.88671875" style="13"/>
    <col min="3809" max="3809" width="66.5546875" style="13" bestFit="1" customWidth="1"/>
    <col min="3810" max="3810" width="11.5546875" style="13" bestFit="1" customWidth="1"/>
    <col min="3811" max="3811" width="8.88671875" style="13" bestFit="1" customWidth="1"/>
    <col min="3812" max="3812" width="10" style="13" customWidth="1"/>
    <col min="3813" max="3813" width="12.109375" style="13" bestFit="1" customWidth="1"/>
    <col min="3814" max="3814" width="13.88671875" style="13" bestFit="1" customWidth="1"/>
    <col min="3815" max="3815" width="13.44140625" style="13" customWidth="1"/>
    <col min="3816" max="3816" width="12.109375" style="13" customWidth="1"/>
    <col min="3817" max="3817" width="11.88671875" style="13" customWidth="1"/>
    <col min="3818" max="3818" width="12.44140625" style="13" customWidth="1"/>
    <col min="3819" max="3819" width="11.44140625" style="13" customWidth="1"/>
    <col min="3820" max="3820" width="13.109375" style="13" bestFit="1" customWidth="1"/>
    <col min="3821" max="3821" width="9.5546875" style="13" bestFit="1" customWidth="1"/>
    <col min="3822" max="3822" width="11.44140625" style="13" customWidth="1"/>
    <col min="3823" max="3823" width="9.109375" style="13" customWidth="1"/>
    <col min="3824" max="3825" width="10" style="13" customWidth="1"/>
    <col min="3826" max="3826" width="10.88671875" style="13" bestFit="1" customWidth="1"/>
    <col min="3827" max="4064" width="8.88671875" style="13"/>
    <col min="4065" max="4065" width="66.5546875" style="13" bestFit="1" customWidth="1"/>
    <col min="4066" max="4066" width="11.5546875" style="13" bestFit="1" customWidth="1"/>
    <col min="4067" max="4067" width="8.88671875" style="13" bestFit="1" customWidth="1"/>
    <col min="4068" max="4068" width="10" style="13" customWidth="1"/>
    <col min="4069" max="4069" width="12.109375" style="13" bestFit="1" customWidth="1"/>
    <col min="4070" max="4070" width="13.88671875" style="13" bestFit="1" customWidth="1"/>
    <col min="4071" max="4071" width="13.44140625" style="13" customWidth="1"/>
    <col min="4072" max="4072" width="12.109375" style="13" customWidth="1"/>
    <col min="4073" max="4073" width="11.88671875" style="13" customWidth="1"/>
    <col min="4074" max="4074" width="12.44140625" style="13" customWidth="1"/>
    <col min="4075" max="4075" width="11.44140625" style="13" customWidth="1"/>
    <col min="4076" max="4076" width="13.109375" style="13" bestFit="1" customWidth="1"/>
    <col min="4077" max="4077" width="9.5546875" style="13" bestFit="1" customWidth="1"/>
    <col min="4078" max="4078" width="11.44140625" style="13" customWidth="1"/>
    <col min="4079" max="4079" width="9.109375" style="13" customWidth="1"/>
    <col min="4080" max="4081" width="10" style="13" customWidth="1"/>
    <col min="4082" max="4082" width="10.88671875" style="13" bestFit="1" customWidth="1"/>
    <col min="4083" max="4320" width="8.88671875" style="13"/>
    <col min="4321" max="4321" width="66.5546875" style="13" bestFit="1" customWidth="1"/>
    <col min="4322" max="4322" width="11.5546875" style="13" bestFit="1" customWidth="1"/>
    <col min="4323" max="4323" width="8.88671875" style="13" bestFit="1" customWidth="1"/>
    <col min="4324" max="4324" width="10" style="13" customWidth="1"/>
    <col min="4325" max="4325" width="12.109375" style="13" bestFit="1" customWidth="1"/>
    <col min="4326" max="4326" width="13.88671875" style="13" bestFit="1" customWidth="1"/>
    <col min="4327" max="4327" width="13.44140625" style="13" customWidth="1"/>
    <col min="4328" max="4328" width="12.109375" style="13" customWidth="1"/>
    <col min="4329" max="4329" width="11.88671875" style="13" customWidth="1"/>
    <col min="4330" max="4330" width="12.44140625" style="13" customWidth="1"/>
    <col min="4331" max="4331" width="11.44140625" style="13" customWidth="1"/>
    <col min="4332" max="4332" width="13.109375" style="13" bestFit="1" customWidth="1"/>
    <col min="4333" max="4333" width="9.5546875" style="13" bestFit="1" customWidth="1"/>
    <col min="4334" max="4334" width="11.44140625" style="13" customWidth="1"/>
    <col min="4335" max="4335" width="9.109375" style="13" customWidth="1"/>
    <col min="4336" max="4337" width="10" style="13" customWidth="1"/>
    <col min="4338" max="4338" width="10.88671875" style="13" bestFit="1" customWidth="1"/>
    <col min="4339" max="4576" width="8.88671875" style="13"/>
    <col min="4577" max="4577" width="66.5546875" style="13" bestFit="1" customWidth="1"/>
    <col min="4578" max="4578" width="11.5546875" style="13" bestFit="1" customWidth="1"/>
    <col min="4579" max="4579" width="8.88671875" style="13" bestFit="1" customWidth="1"/>
    <col min="4580" max="4580" width="10" style="13" customWidth="1"/>
    <col min="4581" max="4581" width="12.109375" style="13" bestFit="1" customWidth="1"/>
    <col min="4582" max="4582" width="13.88671875" style="13" bestFit="1" customWidth="1"/>
    <col min="4583" max="4583" width="13.44140625" style="13" customWidth="1"/>
    <col min="4584" max="4584" width="12.109375" style="13" customWidth="1"/>
    <col min="4585" max="4585" width="11.88671875" style="13" customWidth="1"/>
    <col min="4586" max="4586" width="12.44140625" style="13" customWidth="1"/>
    <col min="4587" max="4587" width="11.44140625" style="13" customWidth="1"/>
    <col min="4588" max="4588" width="13.109375" style="13" bestFit="1" customWidth="1"/>
    <col min="4589" max="4589" width="9.5546875" style="13" bestFit="1" customWidth="1"/>
    <col min="4590" max="4590" width="11.44140625" style="13" customWidth="1"/>
    <col min="4591" max="4591" width="9.109375" style="13" customWidth="1"/>
    <col min="4592" max="4593" width="10" style="13" customWidth="1"/>
    <col min="4594" max="4594" width="10.88671875" style="13" bestFit="1" customWidth="1"/>
    <col min="4595" max="4832" width="8.88671875" style="13"/>
    <col min="4833" max="4833" width="66.5546875" style="13" bestFit="1" customWidth="1"/>
    <col min="4834" max="4834" width="11.5546875" style="13" bestFit="1" customWidth="1"/>
    <col min="4835" max="4835" width="8.88671875" style="13" bestFit="1" customWidth="1"/>
    <col min="4836" max="4836" width="10" style="13" customWidth="1"/>
    <col min="4837" max="4837" width="12.109375" style="13" bestFit="1" customWidth="1"/>
    <col min="4838" max="4838" width="13.88671875" style="13" bestFit="1" customWidth="1"/>
    <col min="4839" max="4839" width="13.44140625" style="13" customWidth="1"/>
    <col min="4840" max="4840" width="12.109375" style="13" customWidth="1"/>
    <col min="4841" max="4841" width="11.88671875" style="13" customWidth="1"/>
    <col min="4842" max="4842" width="12.44140625" style="13" customWidth="1"/>
    <col min="4843" max="4843" width="11.44140625" style="13" customWidth="1"/>
    <col min="4844" max="4844" width="13.109375" style="13" bestFit="1" customWidth="1"/>
    <col min="4845" max="4845" width="9.5546875" style="13" bestFit="1" customWidth="1"/>
    <col min="4846" max="4846" width="11.44140625" style="13" customWidth="1"/>
    <col min="4847" max="4847" width="9.109375" style="13" customWidth="1"/>
    <col min="4848" max="4849" width="10" style="13" customWidth="1"/>
    <col min="4850" max="4850" width="10.88671875" style="13" bestFit="1" customWidth="1"/>
    <col min="4851" max="5088" width="8.88671875" style="13"/>
    <col min="5089" max="5089" width="66.5546875" style="13" bestFit="1" customWidth="1"/>
    <col min="5090" max="5090" width="11.5546875" style="13" bestFit="1" customWidth="1"/>
    <col min="5091" max="5091" width="8.88671875" style="13" bestFit="1" customWidth="1"/>
    <col min="5092" max="5092" width="10" style="13" customWidth="1"/>
    <col min="5093" max="5093" width="12.109375" style="13" bestFit="1" customWidth="1"/>
    <col min="5094" max="5094" width="13.88671875" style="13" bestFit="1" customWidth="1"/>
    <col min="5095" max="5095" width="13.44140625" style="13" customWidth="1"/>
    <col min="5096" max="5096" width="12.109375" style="13" customWidth="1"/>
    <col min="5097" max="5097" width="11.88671875" style="13" customWidth="1"/>
    <col min="5098" max="5098" width="12.44140625" style="13" customWidth="1"/>
    <col min="5099" max="5099" width="11.44140625" style="13" customWidth="1"/>
    <col min="5100" max="5100" width="13.109375" style="13" bestFit="1" customWidth="1"/>
    <col min="5101" max="5101" width="9.5546875" style="13" bestFit="1" customWidth="1"/>
    <col min="5102" max="5102" width="11.44140625" style="13" customWidth="1"/>
    <col min="5103" max="5103" width="9.109375" style="13" customWidth="1"/>
    <col min="5104" max="5105" width="10" style="13" customWidth="1"/>
    <col min="5106" max="5106" width="10.88671875" style="13" bestFit="1" customWidth="1"/>
    <col min="5107" max="5344" width="8.88671875" style="13"/>
    <col min="5345" max="5345" width="66.5546875" style="13" bestFit="1" customWidth="1"/>
    <col min="5346" max="5346" width="11.5546875" style="13" bestFit="1" customWidth="1"/>
    <col min="5347" max="5347" width="8.88671875" style="13" bestFit="1" customWidth="1"/>
    <col min="5348" max="5348" width="10" style="13" customWidth="1"/>
    <col min="5349" max="5349" width="12.109375" style="13" bestFit="1" customWidth="1"/>
    <col min="5350" max="5350" width="13.88671875" style="13" bestFit="1" customWidth="1"/>
    <col min="5351" max="5351" width="13.44140625" style="13" customWidth="1"/>
    <col min="5352" max="5352" width="12.109375" style="13" customWidth="1"/>
    <col min="5353" max="5353" width="11.88671875" style="13" customWidth="1"/>
    <col min="5354" max="5354" width="12.44140625" style="13" customWidth="1"/>
    <col min="5355" max="5355" width="11.44140625" style="13" customWidth="1"/>
    <col min="5356" max="5356" width="13.109375" style="13" bestFit="1" customWidth="1"/>
    <col min="5357" max="5357" width="9.5546875" style="13" bestFit="1" customWidth="1"/>
    <col min="5358" max="5358" width="11.44140625" style="13" customWidth="1"/>
    <col min="5359" max="5359" width="9.109375" style="13" customWidth="1"/>
    <col min="5360" max="5361" width="10" style="13" customWidth="1"/>
    <col min="5362" max="5362" width="10.88671875" style="13" bestFit="1" customWidth="1"/>
    <col min="5363" max="5600" width="8.88671875" style="13"/>
    <col min="5601" max="5601" width="66.5546875" style="13" bestFit="1" customWidth="1"/>
    <col min="5602" max="5602" width="11.5546875" style="13" bestFit="1" customWidth="1"/>
    <col min="5603" max="5603" width="8.88671875" style="13" bestFit="1" customWidth="1"/>
    <col min="5604" max="5604" width="10" style="13" customWidth="1"/>
    <col min="5605" max="5605" width="12.109375" style="13" bestFit="1" customWidth="1"/>
    <col min="5606" max="5606" width="13.88671875" style="13" bestFit="1" customWidth="1"/>
    <col min="5607" max="5607" width="13.44140625" style="13" customWidth="1"/>
    <col min="5608" max="5608" width="12.109375" style="13" customWidth="1"/>
    <col min="5609" max="5609" width="11.88671875" style="13" customWidth="1"/>
    <col min="5610" max="5610" width="12.44140625" style="13" customWidth="1"/>
    <col min="5611" max="5611" width="11.44140625" style="13" customWidth="1"/>
    <col min="5612" max="5612" width="13.109375" style="13" bestFit="1" customWidth="1"/>
    <col min="5613" max="5613" width="9.5546875" style="13" bestFit="1" customWidth="1"/>
    <col min="5614" max="5614" width="11.44140625" style="13" customWidth="1"/>
    <col min="5615" max="5615" width="9.109375" style="13" customWidth="1"/>
    <col min="5616" max="5617" width="10" style="13" customWidth="1"/>
    <col min="5618" max="5618" width="10.88671875" style="13" bestFit="1" customWidth="1"/>
    <col min="5619" max="5856" width="8.88671875" style="13"/>
    <col min="5857" max="5857" width="66.5546875" style="13" bestFit="1" customWidth="1"/>
    <col min="5858" max="5858" width="11.5546875" style="13" bestFit="1" customWidth="1"/>
    <col min="5859" max="5859" width="8.88671875" style="13" bestFit="1" customWidth="1"/>
    <col min="5860" max="5860" width="10" style="13" customWidth="1"/>
    <col min="5861" max="5861" width="12.109375" style="13" bestFit="1" customWidth="1"/>
    <col min="5862" max="5862" width="13.88671875" style="13" bestFit="1" customWidth="1"/>
    <col min="5863" max="5863" width="13.44140625" style="13" customWidth="1"/>
    <col min="5864" max="5864" width="12.109375" style="13" customWidth="1"/>
    <col min="5865" max="5865" width="11.88671875" style="13" customWidth="1"/>
    <col min="5866" max="5866" width="12.44140625" style="13" customWidth="1"/>
    <col min="5867" max="5867" width="11.44140625" style="13" customWidth="1"/>
    <col min="5868" max="5868" width="13.109375" style="13" bestFit="1" customWidth="1"/>
    <col min="5869" max="5869" width="9.5546875" style="13" bestFit="1" customWidth="1"/>
    <col min="5870" max="5870" width="11.44140625" style="13" customWidth="1"/>
    <col min="5871" max="5871" width="9.109375" style="13" customWidth="1"/>
    <col min="5872" max="5873" width="10" style="13" customWidth="1"/>
    <col min="5874" max="5874" width="10.88671875" style="13" bestFit="1" customWidth="1"/>
    <col min="5875" max="6112" width="8.88671875" style="13"/>
    <col min="6113" max="6113" width="66.5546875" style="13" bestFit="1" customWidth="1"/>
    <col min="6114" max="6114" width="11.5546875" style="13" bestFit="1" customWidth="1"/>
    <col min="6115" max="6115" width="8.88671875" style="13" bestFit="1" customWidth="1"/>
    <col min="6116" max="6116" width="10" style="13" customWidth="1"/>
    <col min="6117" max="6117" width="12.109375" style="13" bestFit="1" customWidth="1"/>
    <col min="6118" max="6118" width="13.88671875" style="13" bestFit="1" customWidth="1"/>
    <col min="6119" max="6119" width="13.44140625" style="13" customWidth="1"/>
    <col min="6120" max="6120" width="12.109375" style="13" customWidth="1"/>
    <col min="6121" max="6121" width="11.88671875" style="13" customWidth="1"/>
    <col min="6122" max="6122" width="12.44140625" style="13" customWidth="1"/>
    <col min="6123" max="6123" width="11.44140625" style="13" customWidth="1"/>
    <col min="6124" max="6124" width="13.109375" style="13" bestFit="1" customWidth="1"/>
    <col min="6125" max="6125" width="9.5546875" style="13" bestFit="1" customWidth="1"/>
    <col min="6126" max="6126" width="11.44140625" style="13" customWidth="1"/>
    <col min="6127" max="6127" width="9.109375" style="13" customWidth="1"/>
    <col min="6128" max="6129" width="10" style="13" customWidth="1"/>
    <col min="6130" max="6130" width="10.88671875" style="13" bestFit="1" customWidth="1"/>
    <col min="6131" max="6368" width="8.88671875" style="13"/>
    <col min="6369" max="6369" width="66.5546875" style="13" bestFit="1" customWidth="1"/>
    <col min="6370" max="6370" width="11.5546875" style="13" bestFit="1" customWidth="1"/>
    <col min="6371" max="6371" width="8.88671875" style="13" bestFit="1" customWidth="1"/>
    <col min="6372" max="6372" width="10" style="13" customWidth="1"/>
    <col min="6373" max="6373" width="12.109375" style="13" bestFit="1" customWidth="1"/>
    <col min="6374" max="6374" width="13.88671875" style="13" bestFit="1" customWidth="1"/>
    <col min="6375" max="6375" width="13.44140625" style="13" customWidth="1"/>
    <col min="6376" max="6376" width="12.109375" style="13" customWidth="1"/>
    <col min="6377" max="6377" width="11.88671875" style="13" customWidth="1"/>
    <col min="6378" max="6378" width="12.44140625" style="13" customWidth="1"/>
    <col min="6379" max="6379" width="11.44140625" style="13" customWidth="1"/>
    <col min="6380" max="6380" width="13.109375" style="13" bestFit="1" customWidth="1"/>
    <col min="6381" max="6381" width="9.5546875" style="13" bestFit="1" customWidth="1"/>
    <col min="6382" max="6382" width="11.44140625" style="13" customWidth="1"/>
    <col min="6383" max="6383" width="9.109375" style="13" customWidth="1"/>
    <col min="6384" max="6385" width="10" style="13" customWidth="1"/>
    <col min="6386" max="6386" width="10.88671875" style="13" bestFit="1" customWidth="1"/>
    <col min="6387" max="6624" width="8.88671875" style="13"/>
    <col min="6625" max="6625" width="66.5546875" style="13" bestFit="1" customWidth="1"/>
    <col min="6626" max="6626" width="11.5546875" style="13" bestFit="1" customWidth="1"/>
    <col min="6627" max="6627" width="8.88671875" style="13" bestFit="1" customWidth="1"/>
    <col min="6628" max="6628" width="10" style="13" customWidth="1"/>
    <col min="6629" max="6629" width="12.109375" style="13" bestFit="1" customWidth="1"/>
    <col min="6630" max="6630" width="13.88671875" style="13" bestFit="1" customWidth="1"/>
    <col min="6631" max="6631" width="13.44140625" style="13" customWidth="1"/>
    <col min="6632" max="6632" width="12.109375" style="13" customWidth="1"/>
    <col min="6633" max="6633" width="11.88671875" style="13" customWidth="1"/>
    <col min="6634" max="6634" width="12.44140625" style="13" customWidth="1"/>
    <col min="6635" max="6635" width="11.44140625" style="13" customWidth="1"/>
    <col min="6636" max="6636" width="13.109375" style="13" bestFit="1" customWidth="1"/>
    <col min="6637" max="6637" width="9.5546875" style="13" bestFit="1" customWidth="1"/>
    <col min="6638" max="6638" width="11.44140625" style="13" customWidth="1"/>
    <col min="6639" max="6639" width="9.109375" style="13" customWidth="1"/>
    <col min="6640" max="6641" width="10" style="13" customWidth="1"/>
    <col min="6642" max="6642" width="10.88671875" style="13" bestFit="1" customWidth="1"/>
    <col min="6643" max="6880" width="8.88671875" style="13"/>
    <col min="6881" max="6881" width="66.5546875" style="13" bestFit="1" customWidth="1"/>
    <col min="6882" max="6882" width="11.5546875" style="13" bestFit="1" customWidth="1"/>
    <col min="6883" max="6883" width="8.88671875" style="13" bestFit="1" customWidth="1"/>
    <col min="6884" max="6884" width="10" style="13" customWidth="1"/>
    <col min="6885" max="6885" width="12.109375" style="13" bestFit="1" customWidth="1"/>
    <col min="6886" max="6886" width="13.88671875" style="13" bestFit="1" customWidth="1"/>
    <col min="6887" max="6887" width="13.44140625" style="13" customWidth="1"/>
    <col min="6888" max="6888" width="12.109375" style="13" customWidth="1"/>
    <col min="6889" max="6889" width="11.88671875" style="13" customWidth="1"/>
    <col min="6890" max="6890" width="12.44140625" style="13" customWidth="1"/>
    <col min="6891" max="6891" width="11.44140625" style="13" customWidth="1"/>
    <col min="6892" max="6892" width="13.109375" style="13" bestFit="1" customWidth="1"/>
    <col min="6893" max="6893" width="9.5546875" style="13" bestFit="1" customWidth="1"/>
    <col min="6894" max="6894" width="11.44140625" style="13" customWidth="1"/>
    <col min="6895" max="6895" width="9.109375" style="13" customWidth="1"/>
    <col min="6896" max="6897" width="10" style="13" customWidth="1"/>
    <col min="6898" max="6898" width="10.88671875" style="13" bestFit="1" customWidth="1"/>
    <col min="6899" max="7136" width="8.88671875" style="13"/>
    <col min="7137" max="7137" width="66.5546875" style="13" bestFit="1" customWidth="1"/>
    <col min="7138" max="7138" width="11.5546875" style="13" bestFit="1" customWidth="1"/>
    <col min="7139" max="7139" width="8.88671875" style="13" bestFit="1" customWidth="1"/>
    <col min="7140" max="7140" width="10" style="13" customWidth="1"/>
    <col min="7141" max="7141" width="12.109375" style="13" bestFit="1" customWidth="1"/>
    <col min="7142" max="7142" width="13.88671875" style="13" bestFit="1" customWidth="1"/>
    <col min="7143" max="7143" width="13.44140625" style="13" customWidth="1"/>
    <col min="7144" max="7144" width="12.109375" style="13" customWidth="1"/>
    <col min="7145" max="7145" width="11.88671875" style="13" customWidth="1"/>
    <col min="7146" max="7146" width="12.44140625" style="13" customWidth="1"/>
    <col min="7147" max="7147" width="11.44140625" style="13" customWidth="1"/>
    <col min="7148" max="7148" width="13.109375" style="13" bestFit="1" customWidth="1"/>
    <col min="7149" max="7149" width="9.5546875" style="13" bestFit="1" customWidth="1"/>
    <col min="7150" max="7150" width="11.44140625" style="13" customWidth="1"/>
    <col min="7151" max="7151" width="9.109375" style="13" customWidth="1"/>
    <col min="7152" max="7153" width="10" style="13" customWidth="1"/>
    <col min="7154" max="7154" width="10.88671875" style="13" bestFit="1" customWidth="1"/>
    <col min="7155" max="7392" width="8.88671875" style="13"/>
    <col min="7393" max="7393" width="66.5546875" style="13" bestFit="1" customWidth="1"/>
    <col min="7394" max="7394" width="11.5546875" style="13" bestFit="1" customWidth="1"/>
    <col min="7395" max="7395" width="8.88671875" style="13" bestFit="1" customWidth="1"/>
    <col min="7396" max="7396" width="10" style="13" customWidth="1"/>
    <col min="7397" max="7397" width="12.109375" style="13" bestFit="1" customWidth="1"/>
    <col min="7398" max="7398" width="13.88671875" style="13" bestFit="1" customWidth="1"/>
    <col min="7399" max="7399" width="13.44140625" style="13" customWidth="1"/>
    <col min="7400" max="7400" width="12.109375" style="13" customWidth="1"/>
    <col min="7401" max="7401" width="11.88671875" style="13" customWidth="1"/>
    <col min="7402" max="7402" width="12.44140625" style="13" customWidth="1"/>
    <col min="7403" max="7403" width="11.44140625" style="13" customWidth="1"/>
    <col min="7404" max="7404" width="13.109375" style="13" bestFit="1" customWidth="1"/>
    <col min="7405" max="7405" width="9.5546875" style="13" bestFit="1" customWidth="1"/>
    <col min="7406" max="7406" width="11.44140625" style="13" customWidth="1"/>
    <col min="7407" max="7407" width="9.109375" style="13" customWidth="1"/>
    <col min="7408" max="7409" width="10" style="13" customWidth="1"/>
    <col min="7410" max="7410" width="10.88671875" style="13" bestFit="1" customWidth="1"/>
    <col min="7411" max="7648" width="8.88671875" style="13"/>
    <col min="7649" max="7649" width="66.5546875" style="13" bestFit="1" customWidth="1"/>
    <col min="7650" max="7650" width="11.5546875" style="13" bestFit="1" customWidth="1"/>
    <col min="7651" max="7651" width="8.88671875" style="13" bestFit="1" customWidth="1"/>
    <col min="7652" max="7652" width="10" style="13" customWidth="1"/>
    <col min="7653" max="7653" width="12.109375" style="13" bestFit="1" customWidth="1"/>
    <col min="7654" max="7654" width="13.88671875" style="13" bestFit="1" customWidth="1"/>
    <col min="7655" max="7655" width="13.44140625" style="13" customWidth="1"/>
    <col min="7656" max="7656" width="12.109375" style="13" customWidth="1"/>
    <col min="7657" max="7657" width="11.88671875" style="13" customWidth="1"/>
    <col min="7658" max="7658" width="12.44140625" style="13" customWidth="1"/>
    <col min="7659" max="7659" width="11.44140625" style="13" customWidth="1"/>
    <col min="7660" max="7660" width="13.109375" style="13" bestFit="1" customWidth="1"/>
    <col min="7661" max="7661" width="9.5546875" style="13" bestFit="1" customWidth="1"/>
    <col min="7662" max="7662" width="11.44140625" style="13" customWidth="1"/>
    <col min="7663" max="7663" width="9.109375" style="13" customWidth="1"/>
    <col min="7664" max="7665" width="10" style="13" customWidth="1"/>
    <col min="7666" max="7666" width="10.88671875" style="13" bestFit="1" customWidth="1"/>
    <col min="7667" max="7904" width="8.88671875" style="13"/>
    <col min="7905" max="7905" width="66.5546875" style="13" bestFit="1" customWidth="1"/>
    <col min="7906" max="7906" width="11.5546875" style="13" bestFit="1" customWidth="1"/>
    <col min="7907" max="7907" width="8.88671875" style="13" bestFit="1" customWidth="1"/>
    <col min="7908" max="7908" width="10" style="13" customWidth="1"/>
    <col min="7909" max="7909" width="12.109375" style="13" bestFit="1" customWidth="1"/>
    <col min="7910" max="7910" width="13.88671875" style="13" bestFit="1" customWidth="1"/>
    <col min="7911" max="7911" width="13.44140625" style="13" customWidth="1"/>
    <col min="7912" max="7912" width="12.109375" style="13" customWidth="1"/>
    <col min="7913" max="7913" width="11.88671875" style="13" customWidth="1"/>
    <col min="7914" max="7914" width="12.44140625" style="13" customWidth="1"/>
    <col min="7915" max="7915" width="11.44140625" style="13" customWidth="1"/>
    <col min="7916" max="7916" width="13.109375" style="13" bestFit="1" customWidth="1"/>
    <col min="7917" max="7917" width="9.5546875" style="13" bestFit="1" customWidth="1"/>
    <col min="7918" max="7918" width="11.44140625" style="13" customWidth="1"/>
    <col min="7919" max="7919" width="9.109375" style="13" customWidth="1"/>
    <col min="7920" max="7921" width="10" style="13" customWidth="1"/>
    <col min="7922" max="7922" width="10.88671875" style="13" bestFit="1" customWidth="1"/>
    <col min="7923" max="8160" width="8.88671875" style="13"/>
    <col min="8161" max="8161" width="66.5546875" style="13" bestFit="1" customWidth="1"/>
    <col min="8162" max="8162" width="11.5546875" style="13" bestFit="1" customWidth="1"/>
    <col min="8163" max="8163" width="8.88671875" style="13" bestFit="1" customWidth="1"/>
    <col min="8164" max="8164" width="10" style="13" customWidth="1"/>
    <col min="8165" max="8165" width="12.109375" style="13" bestFit="1" customWidth="1"/>
    <col min="8166" max="8166" width="13.88671875" style="13" bestFit="1" customWidth="1"/>
    <col min="8167" max="8167" width="13.44140625" style="13" customWidth="1"/>
    <col min="8168" max="8168" width="12.109375" style="13" customWidth="1"/>
    <col min="8169" max="8169" width="11.88671875" style="13" customWidth="1"/>
    <col min="8170" max="8170" width="12.44140625" style="13" customWidth="1"/>
    <col min="8171" max="8171" width="11.44140625" style="13" customWidth="1"/>
    <col min="8172" max="8172" width="13.109375" style="13" bestFit="1" customWidth="1"/>
    <col min="8173" max="8173" width="9.5546875" style="13" bestFit="1" customWidth="1"/>
    <col min="8174" max="8174" width="11.44140625" style="13" customWidth="1"/>
    <col min="8175" max="8175" width="9.109375" style="13" customWidth="1"/>
    <col min="8176" max="8177" width="10" style="13" customWidth="1"/>
    <col min="8178" max="8178" width="10.88671875" style="13" bestFit="1" customWidth="1"/>
    <col min="8179" max="8416" width="8.88671875" style="13"/>
    <col min="8417" max="8417" width="66.5546875" style="13" bestFit="1" customWidth="1"/>
    <col min="8418" max="8418" width="11.5546875" style="13" bestFit="1" customWidth="1"/>
    <col min="8419" max="8419" width="8.88671875" style="13" bestFit="1" customWidth="1"/>
    <col min="8420" max="8420" width="10" style="13" customWidth="1"/>
    <col min="8421" max="8421" width="12.109375" style="13" bestFit="1" customWidth="1"/>
    <col min="8422" max="8422" width="13.88671875" style="13" bestFit="1" customWidth="1"/>
    <col min="8423" max="8423" width="13.44140625" style="13" customWidth="1"/>
    <col min="8424" max="8424" width="12.109375" style="13" customWidth="1"/>
    <col min="8425" max="8425" width="11.88671875" style="13" customWidth="1"/>
    <col min="8426" max="8426" width="12.44140625" style="13" customWidth="1"/>
    <col min="8427" max="8427" width="11.44140625" style="13" customWidth="1"/>
    <col min="8428" max="8428" width="13.109375" style="13" bestFit="1" customWidth="1"/>
    <col min="8429" max="8429" width="9.5546875" style="13" bestFit="1" customWidth="1"/>
    <col min="8430" max="8430" width="11.44140625" style="13" customWidth="1"/>
    <col min="8431" max="8431" width="9.109375" style="13" customWidth="1"/>
    <col min="8432" max="8433" width="10" style="13" customWidth="1"/>
    <col min="8434" max="8434" width="10.88671875" style="13" bestFit="1" customWidth="1"/>
    <col min="8435" max="8672" width="8.88671875" style="13"/>
    <col min="8673" max="8673" width="66.5546875" style="13" bestFit="1" customWidth="1"/>
    <col min="8674" max="8674" width="11.5546875" style="13" bestFit="1" customWidth="1"/>
    <col min="8675" max="8675" width="8.88671875" style="13" bestFit="1" customWidth="1"/>
    <col min="8676" max="8676" width="10" style="13" customWidth="1"/>
    <col min="8677" max="8677" width="12.109375" style="13" bestFit="1" customWidth="1"/>
    <col min="8678" max="8678" width="13.88671875" style="13" bestFit="1" customWidth="1"/>
    <col min="8679" max="8679" width="13.44140625" style="13" customWidth="1"/>
    <col min="8680" max="8680" width="12.109375" style="13" customWidth="1"/>
    <col min="8681" max="8681" width="11.88671875" style="13" customWidth="1"/>
    <col min="8682" max="8682" width="12.44140625" style="13" customWidth="1"/>
    <col min="8683" max="8683" width="11.44140625" style="13" customWidth="1"/>
    <col min="8684" max="8684" width="13.109375" style="13" bestFit="1" customWidth="1"/>
    <col min="8685" max="8685" width="9.5546875" style="13" bestFit="1" customWidth="1"/>
    <col min="8686" max="8686" width="11.44140625" style="13" customWidth="1"/>
    <col min="8687" max="8687" width="9.109375" style="13" customWidth="1"/>
    <col min="8688" max="8689" width="10" style="13" customWidth="1"/>
    <col min="8690" max="8690" width="10.88671875" style="13" bestFit="1" customWidth="1"/>
    <col min="8691" max="8928" width="8.88671875" style="13"/>
    <col min="8929" max="8929" width="66.5546875" style="13" bestFit="1" customWidth="1"/>
    <col min="8930" max="8930" width="11.5546875" style="13" bestFit="1" customWidth="1"/>
    <col min="8931" max="8931" width="8.88671875" style="13" bestFit="1" customWidth="1"/>
    <col min="8932" max="8932" width="10" style="13" customWidth="1"/>
    <col min="8933" max="8933" width="12.109375" style="13" bestFit="1" customWidth="1"/>
    <col min="8934" max="8934" width="13.88671875" style="13" bestFit="1" customWidth="1"/>
    <col min="8935" max="8935" width="13.44140625" style="13" customWidth="1"/>
    <col min="8936" max="8936" width="12.109375" style="13" customWidth="1"/>
    <col min="8937" max="8937" width="11.88671875" style="13" customWidth="1"/>
    <col min="8938" max="8938" width="12.44140625" style="13" customWidth="1"/>
    <col min="8939" max="8939" width="11.44140625" style="13" customWidth="1"/>
    <col min="8940" max="8940" width="13.109375" style="13" bestFit="1" customWidth="1"/>
    <col min="8941" max="8941" width="9.5546875" style="13" bestFit="1" customWidth="1"/>
    <col min="8942" max="8942" width="11.44140625" style="13" customWidth="1"/>
    <col min="8943" max="8943" width="9.109375" style="13" customWidth="1"/>
    <col min="8944" max="8945" width="10" style="13" customWidth="1"/>
    <col min="8946" max="8946" width="10.88671875" style="13" bestFit="1" customWidth="1"/>
    <col min="8947" max="9184" width="8.88671875" style="13"/>
    <col min="9185" max="9185" width="66.5546875" style="13" bestFit="1" customWidth="1"/>
    <col min="9186" max="9186" width="11.5546875" style="13" bestFit="1" customWidth="1"/>
    <col min="9187" max="9187" width="8.88671875" style="13" bestFit="1" customWidth="1"/>
    <col min="9188" max="9188" width="10" style="13" customWidth="1"/>
    <col min="9189" max="9189" width="12.109375" style="13" bestFit="1" customWidth="1"/>
    <col min="9190" max="9190" width="13.88671875" style="13" bestFit="1" customWidth="1"/>
    <col min="9191" max="9191" width="13.44140625" style="13" customWidth="1"/>
    <col min="9192" max="9192" width="12.109375" style="13" customWidth="1"/>
    <col min="9193" max="9193" width="11.88671875" style="13" customWidth="1"/>
    <col min="9194" max="9194" width="12.44140625" style="13" customWidth="1"/>
    <col min="9195" max="9195" width="11.44140625" style="13" customWidth="1"/>
    <col min="9196" max="9196" width="13.109375" style="13" bestFit="1" customWidth="1"/>
    <col min="9197" max="9197" width="9.5546875" style="13" bestFit="1" customWidth="1"/>
    <col min="9198" max="9198" width="11.44140625" style="13" customWidth="1"/>
    <col min="9199" max="9199" width="9.109375" style="13" customWidth="1"/>
    <col min="9200" max="9201" width="10" style="13" customWidth="1"/>
    <col min="9202" max="9202" width="10.88671875" style="13" bestFit="1" customWidth="1"/>
    <col min="9203" max="9440" width="8.88671875" style="13"/>
    <col min="9441" max="9441" width="66.5546875" style="13" bestFit="1" customWidth="1"/>
    <col min="9442" max="9442" width="11.5546875" style="13" bestFit="1" customWidth="1"/>
    <col min="9443" max="9443" width="8.88671875" style="13" bestFit="1" customWidth="1"/>
    <col min="9444" max="9444" width="10" style="13" customWidth="1"/>
    <col min="9445" max="9445" width="12.109375" style="13" bestFit="1" customWidth="1"/>
    <col min="9446" max="9446" width="13.88671875" style="13" bestFit="1" customWidth="1"/>
    <col min="9447" max="9447" width="13.44140625" style="13" customWidth="1"/>
    <col min="9448" max="9448" width="12.109375" style="13" customWidth="1"/>
    <col min="9449" max="9449" width="11.88671875" style="13" customWidth="1"/>
    <col min="9450" max="9450" width="12.44140625" style="13" customWidth="1"/>
    <col min="9451" max="9451" width="11.44140625" style="13" customWidth="1"/>
    <col min="9452" max="9452" width="13.109375" style="13" bestFit="1" customWidth="1"/>
    <col min="9453" max="9453" width="9.5546875" style="13" bestFit="1" customWidth="1"/>
    <col min="9454" max="9454" width="11.44140625" style="13" customWidth="1"/>
    <col min="9455" max="9455" width="9.109375" style="13" customWidth="1"/>
    <col min="9456" max="9457" width="10" style="13" customWidth="1"/>
    <col min="9458" max="9458" width="10.88671875" style="13" bestFit="1" customWidth="1"/>
    <col min="9459" max="9696" width="8.88671875" style="13"/>
    <col min="9697" max="9697" width="66.5546875" style="13" bestFit="1" customWidth="1"/>
    <col min="9698" max="9698" width="11.5546875" style="13" bestFit="1" customWidth="1"/>
    <col min="9699" max="9699" width="8.88671875" style="13" bestFit="1" customWidth="1"/>
    <col min="9700" max="9700" width="10" style="13" customWidth="1"/>
    <col min="9701" max="9701" width="12.109375" style="13" bestFit="1" customWidth="1"/>
    <col min="9702" max="9702" width="13.88671875" style="13" bestFit="1" customWidth="1"/>
    <col min="9703" max="9703" width="13.44140625" style="13" customWidth="1"/>
    <col min="9704" max="9704" width="12.109375" style="13" customWidth="1"/>
    <col min="9705" max="9705" width="11.88671875" style="13" customWidth="1"/>
    <col min="9706" max="9706" width="12.44140625" style="13" customWidth="1"/>
    <col min="9707" max="9707" width="11.44140625" style="13" customWidth="1"/>
    <col min="9708" max="9708" width="13.109375" style="13" bestFit="1" customWidth="1"/>
    <col min="9709" max="9709" width="9.5546875" style="13" bestFit="1" customWidth="1"/>
    <col min="9710" max="9710" width="11.44140625" style="13" customWidth="1"/>
    <col min="9711" max="9711" width="9.109375" style="13" customWidth="1"/>
    <col min="9712" max="9713" width="10" style="13" customWidth="1"/>
    <col min="9714" max="9714" width="10.88671875" style="13" bestFit="1" customWidth="1"/>
    <col min="9715" max="9952" width="8.88671875" style="13"/>
    <col min="9953" max="9953" width="66.5546875" style="13" bestFit="1" customWidth="1"/>
    <col min="9954" max="9954" width="11.5546875" style="13" bestFit="1" customWidth="1"/>
    <col min="9955" max="9955" width="8.88671875" style="13" bestFit="1" customWidth="1"/>
    <col min="9956" max="9956" width="10" style="13" customWidth="1"/>
    <col min="9957" max="9957" width="12.109375" style="13" bestFit="1" customWidth="1"/>
    <col min="9958" max="9958" width="13.88671875" style="13" bestFit="1" customWidth="1"/>
    <col min="9959" max="9959" width="13.44140625" style="13" customWidth="1"/>
    <col min="9960" max="9960" width="12.109375" style="13" customWidth="1"/>
    <col min="9961" max="9961" width="11.88671875" style="13" customWidth="1"/>
    <col min="9962" max="9962" width="12.44140625" style="13" customWidth="1"/>
    <col min="9963" max="9963" width="11.44140625" style="13" customWidth="1"/>
    <col min="9964" max="9964" width="13.109375" style="13" bestFit="1" customWidth="1"/>
    <col min="9965" max="9965" width="9.5546875" style="13" bestFit="1" customWidth="1"/>
    <col min="9966" max="9966" width="11.44140625" style="13" customWidth="1"/>
    <col min="9967" max="9967" width="9.109375" style="13" customWidth="1"/>
    <col min="9968" max="9969" width="10" style="13" customWidth="1"/>
    <col min="9970" max="9970" width="10.88671875" style="13" bestFit="1" customWidth="1"/>
    <col min="9971" max="10208" width="8.88671875" style="13"/>
    <col min="10209" max="10209" width="66.5546875" style="13" bestFit="1" customWidth="1"/>
    <col min="10210" max="10210" width="11.5546875" style="13" bestFit="1" customWidth="1"/>
    <col min="10211" max="10211" width="8.88671875" style="13" bestFit="1" customWidth="1"/>
    <col min="10212" max="10212" width="10" style="13" customWidth="1"/>
    <col min="10213" max="10213" width="12.109375" style="13" bestFit="1" customWidth="1"/>
    <col min="10214" max="10214" width="13.88671875" style="13" bestFit="1" customWidth="1"/>
    <col min="10215" max="10215" width="13.44140625" style="13" customWidth="1"/>
    <col min="10216" max="10216" width="12.109375" style="13" customWidth="1"/>
    <col min="10217" max="10217" width="11.88671875" style="13" customWidth="1"/>
    <col min="10218" max="10218" width="12.44140625" style="13" customWidth="1"/>
    <col min="10219" max="10219" width="11.44140625" style="13" customWidth="1"/>
    <col min="10220" max="10220" width="13.109375" style="13" bestFit="1" customWidth="1"/>
    <col min="10221" max="10221" width="9.5546875" style="13" bestFit="1" customWidth="1"/>
    <col min="10222" max="10222" width="11.44140625" style="13" customWidth="1"/>
    <col min="10223" max="10223" width="9.109375" style="13" customWidth="1"/>
    <col min="10224" max="10225" width="10" style="13" customWidth="1"/>
    <col min="10226" max="10226" width="10.88671875" style="13" bestFit="1" customWidth="1"/>
    <col min="10227" max="10464" width="8.88671875" style="13"/>
    <col min="10465" max="10465" width="66.5546875" style="13" bestFit="1" customWidth="1"/>
    <col min="10466" max="10466" width="11.5546875" style="13" bestFit="1" customWidth="1"/>
    <col min="10467" max="10467" width="8.88671875" style="13" bestFit="1" customWidth="1"/>
    <col min="10468" max="10468" width="10" style="13" customWidth="1"/>
    <col min="10469" max="10469" width="12.109375" style="13" bestFit="1" customWidth="1"/>
    <col min="10470" max="10470" width="13.88671875" style="13" bestFit="1" customWidth="1"/>
    <col min="10471" max="10471" width="13.44140625" style="13" customWidth="1"/>
    <col min="10472" max="10472" width="12.109375" style="13" customWidth="1"/>
    <col min="10473" max="10473" width="11.88671875" style="13" customWidth="1"/>
    <col min="10474" max="10474" width="12.44140625" style="13" customWidth="1"/>
    <col min="10475" max="10475" width="11.44140625" style="13" customWidth="1"/>
    <col min="10476" max="10476" width="13.109375" style="13" bestFit="1" customWidth="1"/>
    <col min="10477" max="10477" width="9.5546875" style="13" bestFit="1" customWidth="1"/>
    <col min="10478" max="10478" width="11.44140625" style="13" customWidth="1"/>
    <col min="10479" max="10479" width="9.109375" style="13" customWidth="1"/>
    <col min="10480" max="10481" width="10" style="13" customWidth="1"/>
    <col min="10482" max="10482" width="10.88671875" style="13" bestFit="1" customWidth="1"/>
    <col min="10483" max="10720" width="8.88671875" style="13"/>
    <col min="10721" max="10721" width="66.5546875" style="13" bestFit="1" customWidth="1"/>
    <col min="10722" max="10722" width="11.5546875" style="13" bestFit="1" customWidth="1"/>
    <col min="10723" max="10723" width="8.88671875" style="13" bestFit="1" customWidth="1"/>
    <col min="10724" max="10724" width="10" style="13" customWidth="1"/>
    <col min="10725" max="10725" width="12.109375" style="13" bestFit="1" customWidth="1"/>
    <col min="10726" max="10726" width="13.88671875" style="13" bestFit="1" customWidth="1"/>
    <col min="10727" max="10727" width="13.44140625" style="13" customWidth="1"/>
    <col min="10728" max="10728" width="12.109375" style="13" customWidth="1"/>
    <col min="10729" max="10729" width="11.88671875" style="13" customWidth="1"/>
    <col min="10730" max="10730" width="12.44140625" style="13" customWidth="1"/>
    <col min="10731" max="10731" width="11.44140625" style="13" customWidth="1"/>
    <col min="10732" max="10732" width="13.109375" style="13" bestFit="1" customWidth="1"/>
    <col min="10733" max="10733" width="9.5546875" style="13" bestFit="1" customWidth="1"/>
    <col min="10734" max="10734" width="11.44140625" style="13" customWidth="1"/>
    <col min="10735" max="10735" width="9.109375" style="13" customWidth="1"/>
    <col min="10736" max="10737" width="10" style="13" customWidth="1"/>
    <col min="10738" max="10738" width="10.88671875" style="13" bestFit="1" customWidth="1"/>
    <col min="10739" max="10976" width="8.88671875" style="13"/>
    <col min="10977" max="10977" width="66.5546875" style="13" bestFit="1" customWidth="1"/>
    <col min="10978" max="10978" width="11.5546875" style="13" bestFit="1" customWidth="1"/>
    <col min="10979" max="10979" width="8.88671875" style="13" bestFit="1" customWidth="1"/>
    <col min="10980" max="10980" width="10" style="13" customWidth="1"/>
    <col min="10981" max="10981" width="12.109375" style="13" bestFit="1" customWidth="1"/>
    <col min="10982" max="10982" width="13.88671875" style="13" bestFit="1" customWidth="1"/>
    <col min="10983" max="10983" width="13.44140625" style="13" customWidth="1"/>
    <col min="10984" max="10984" width="12.109375" style="13" customWidth="1"/>
    <col min="10985" max="10985" width="11.88671875" style="13" customWidth="1"/>
    <col min="10986" max="10986" width="12.44140625" style="13" customWidth="1"/>
    <col min="10987" max="10987" width="11.44140625" style="13" customWidth="1"/>
    <col min="10988" max="10988" width="13.109375" style="13" bestFit="1" customWidth="1"/>
    <col min="10989" max="10989" width="9.5546875" style="13" bestFit="1" customWidth="1"/>
    <col min="10990" max="10990" width="11.44140625" style="13" customWidth="1"/>
    <col min="10991" max="10991" width="9.109375" style="13" customWidth="1"/>
    <col min="10992" max="10993" width="10" style="13" customWidth="1"/>
    <col min="10994" max="10994" width="10.88671875" style="13" bestFit="1" customWidth="1"/>
    <col min="10995" max="11232" width="8.88671875" style="13"/>
    <col min="11233" max="11233" width="66.5546875" style="13" bestFit="1" customWidth="1"/>
    <col min="11234" max="11234" width="11.5546875" style="13" bestFit="1" customWidth="1"/>
    <col min="11235" max="11235" width="8.88671875" style="13" bestFit="1" customWidth="1"/>
    <col min="11236" max="11236" width="10" style="13" customWidth="1"/>
    <col min="11237" max="11237" width="12.109375" style="13" bestFit="1" customWidth="1"/>
    <col min="11238" max="11238" width="13.88671875" style="13" bestFit="1" customWidth="1"/>
    <col min="11239" max="11239" width="13.44140625" style="13" customWidth="1"/>
    <col min="11240" max="11240" width="12.109375" style="13" customWidth="1"/>
    <col min="11241" max="11241" width="11.88671875" style="13" customWidth="1"/>
    <col min="11242" max="11242" width="12.44140625" style="13" customWidth="1"/>
    <col min="11243" max="11243" width="11.44140625" style="13" customWidth="1"/>
    <col min="11244" max="11244" width="13.109375" style="13" bestFit="1" customWidth="1"/>
    <col min="11245" max="11245" width="9.5546875" style="13" bestFit="1" customWidth="1"/>
    <col min="11246" max="11246" width="11.44140625" style="13" customWidth="1"/>
    <col min="11247" max="11247" width="9.109375" style="13" customWidth="1"/>
    <col min="11248" max="11249" width="10" style="13" customWidth="1"/>
    <col min="11250" max="11250" width="10.88671875" style="13" bestFit="1" customWidth="1"/>
    <col min="11251" max="11488" width="8.88671875" style="13"/>
    <col min="11489" max="11489" width="66.5546875" style="13" bestFit="1" customWidth="1"/>
    <col min="11490" max="11490" width="11.5546875" style="13" bestFit="1" customWidth="1"/>
    <col min="11491" max="11491" width="8.88671875" style="13" bestFit="1" customWidth="1"/>
    <col min="11492" max="11492" width="10" style="13" customWidth="1"/>
    <col min="11493" max="11493" width="12.109375" style="13" bestFit="1" customWidth="1"/>
    <col min="11494" max="11494" width="13.88671875" style="13" bestFit="1" customWidth="1"/>
    <col min="11495" max="11495" width="13.44140625" style="13" customWidth="1"/>
    <col min="11496" max="11496" width="12.109375" style="13" customWidth="1"/>
    <col min="11497" max="11497" width="11.88671875" style="13" customWidth="1"/>
    <col min="11498" max="11498" width="12.44140625" style="13" customWidth="1"/>
    <col min="11499" max="11499" width="11.44140625" style="13" customWidth="1"/>
    <col min="11500" max="11500" width="13.109375" style="13" bestFit="1" customWidth="1"/>
    <col min="11501" max="11501" width="9.5546875" style="13" bestFit="1" customWidth="1"/>
    <col min="11502" max="11502" width="11.44140625" style="13" customWidth="1"/>
    <col min="11503" max="11503" width="9.109375" style="13" customWidth="1"/>
    <col min="11504" max="11505" width="10" style="13" customWidth="1"/>
    <col min="11506" max="11506" width="10.88671875" style="13" bestFit="1" customWidth="1"/>
    <col min="11507" max="11744" width="8.88671875" style="13"/>
    <col min="11745" max="11745" width="66.5546875" style="13" bestFit="1" customWidth="1"/>
    <col min="11746" max="11746" width="11.5546875" style="13" bestFit="1" customWidth="1"/>
    <col min="11747" max="11747" width="8.88671875" style="13" bestFit="1" customWidth="1"/>
    <col min="11748" max="11748" width="10" style="13" customWidth="1"/>
    <col min="11749" max="11749" width="12.109375" style="13" bestFit="1" customWidth="1"/>
    <col min="11750" max="11750" width="13.88671875" style="13" bestFit="1" customWidth="1"/>
    <col min="11751" max="11751" width="13.44140625" style="13" customWidth="1"/>
    <col min="11752" max="11752" width="12.109375" style="13" customWidth="1"/>
    <col min="11753" max="11753" width="11.88671875" style="13" customWidth="1"/>
    <col min="11754" max="11754" width="12.44140625" style="13" customWidth="1"/>
    <col min="11755" max="11755" width="11.44140625" style="13" customWidth="1"/>
    <col min="11756" max="11756" width="13.109375" style="13" bestFit="1" customWidth="1"/>
    <col min="11757" max="11757" width="9.5546875" style="13" bestFit="1" customWidth="1"/>
    <col min="11758" max="11758" width="11.44140625" style="13" customWidth="1"/>
    <col min="11759" max="11759" width="9.109375" style="13" customWidth="1"/>
    <col min="11760" max="11761" width="10" style="13" customWidth="1"/>
    <col min="11762" max="11762" width="10.88671875" style="13" bestFit="1" customWidth="1"/>
    <col min="11763" max="12000" width="8.88671875" style="13"/>
    <col min="12001" max="12001" width="66.5546875" style="13" bestFit="1" customWidth="1"/>
    <col min="12002" max="12002" width="11.5546875" style="13" bestFit="1" customWidth="1"/>
    <col min="12003" max="12003" width="8.88671875" style="13" bestFit="1" customWidth="1"/>
    <col min="12004" max="12004" width="10" style="13" customWidth="1"/>
    <col min="12005" max="12005" width="12.109375" style="13" bestFit="1" customWidth="1"/>
    <col min="12006" max="12006" width="13.88671875" style="13" bestFit="1" customWidth="1"/>
    <col min="12007" max="12007" width="13.44140625" style="13" customWidth="1"/>
    <col min="12008" max="12008" width="12.109375" style="13" customWidth="1"/>
    <col min="12009" max="12009" width="11.88671875" style="13" customWidth="1"/>
    <col min="12010" max="12010" width="12.44140625" style="13" customWidth="1"/>
    <col min="12011" max="12011" width="11.44140625" style="13" customWidth="1"/>
    <col min="12012" max="12012" width="13.109375" style="13" bestFit="1" customWidth="1"/>
    <col min="12013" max="12013" width="9.5546875" style="13" bestFit="1" customWidth="1"/>
    <col min="12014" max="12014" width="11.44140625" style="13" customWidth="1"/>
    <col min="12015" max="12015" width="9.109375" style="13" customWidth="1"/>
    <col min="12016" max="12017" width="10" style="13" customWidth="1"/>
    <col min="12018" max="12018" width="10.88671875" style="13" bestFit="1" customWidth="1"/>
    <col min="12019" max="12256" width="8.88671875" style="13"/>
    <col min="12257" max="12257" width="66.5546875" style="13" bestFit="1" customWidth="1"/>
    <col min="12258" max="12258" width="11.5546875" style="13" bestFit="1" customWidth="1"/>
    <col min="12259" max="12259" width="8.88671875" style="13" bestFit="1" customWidth="1"/>
    <col min="12260" max="12260" width="10" style="13" customWidth="1"/>
    <col min="12261" max="12261" width="12.109375" style="13" bestFit="1" customWidth="1"/>
    <col min="12262" max="12262" width="13.88671875" style="13" bestFit="1" customWidth="1"/>
    <col min="12263" max="12263" width="13.44140625" style="13" customWidth="1"/>
    <col min="12264" max="12264" width="12.109375" style="13" customWidth="1"/>
    <col min="12265" max="12265" width="11.88671875" style="13" customWidth="1"/>
    <col min="12266" max="12266" width="12.44140625" style="13" customWidth="1"/>
    <col min="12267" max="12267" width="11.44140625" style="13" customWidth="1"/>
    <col min="12268" max="12268" width="13.109375" style="13" bestFit="1" customWidth="1"/>
    <col min="12269" max="12269" width="9.5546875" style="13" bestFit="1" customWidth="1"/>
    <col min="12270" max="12270" width="11.44140625" style="13" customWidth="1"/>
    <col min="12271" max="12271" width="9.109375" style="13" customWidth="1"/>
    <col min="12272" max="12273" width="10" style="13" customWidth="1"/>
    <col min="12274" max="12274" width="10.88671875" style="13" bestFit="1" customWidth="1"/>
    <col min="12275" max="12512" width="8.88671875" style="13"/>
    <col min="12513" max="12513" width="66.5546875" style="13" bestFit="1" customWidth="1"/>
    <col min="12514" max="12514" width="11.5546875" style="13" bestFit="1" customWidth="1"/>
    <col min="12515" max="12515" width="8.88671875" style="13" bestFit="1" customWidth="1"/>
    <col min="12516" max="12516" width="10" style="13" customWidth="1"/>
    <col min="12517" max="12517" width="12.109375" style="13" bestFit="1" customWidth="1"/>
    <col min="12518" max="12518" width="13.88671875" style="13" bestFit="1" customWidth="1"/>
    <col min="12519" max="12519" width="13.44140625" style="13" customWidth="1"/>
    <col min="12520" max="12520" width="12.109375" style="13" customWidth="1"/>
    <col min="12521" max="12521" width="11.88671875" style="13" customWidth="1"/>
    <col min="12522" max="12522" width="12.44140625" style="13" customWidth="1"/>
    <col min="12523" max="12523" width="11.44140625" style="13" customWidth="1"/>
    <col min="12524" max="12524" width="13.109375" style="13" bestFit="1" customWidth="1"/>
    <col min="12525" max="12525" width="9.5546875" style="13" bestFit="1" customWidth="1"/>
    <col min="12526" max="12526" width="11.44140625" style="13" customWidth="1"/>
    <col min="12527" max="12527" width="9.109375" style="13" customWidth="1"/>
    <col min="12528" max="12529" width="10" style="13" customWidth="1"/>
    <col min="12530" max="12530" width="10.88671875" style="13" bestFit="1" customWidth="1"/>
    <col min="12531" max="12768" width="8.88671875" style="13"/>
    <col min="12769" max="12769" width="66.5546875" style="13" bestFit="1" customWidth="1"/>
    <col min="12770" max="12770" width="11.5546875" style="13" bestFit="1" customWidth="1"/>
    <col min="12771" max="12771" width="8.88671875" style="13" bestFit="1" customWidth="1"/>
    <col min="12772" max="12772" width="10" style="13" customWidth="1"/>
    <col min="12773" max="12773" width="12.109375" style="13" bestFit="1" customWidth="1"/>
    <col min="12774" max="12774" width="13.88671875" style="13" bestFit="1" customWidth="1"/>
    <col min="12775" max="12775" width="13.44140625" style="13" customWidth="1"/>
    <col min="12776" max="12776" width="12.109375" style="13" customWidth="1"/>
    <col min="12777" max="12777" width="11.88671875" style="13" customWidth="1"/>
    <col min="12778" max="12778" width="12.44140625" style="13" customWidth="1"/>
    <col min="12779" max="12779" width="11.44140625" style="13" customWidth="1"/>
    <col min="12780" max="12780" width="13.109375" style="13" bestFit="1" customWidth="1"/>
    <col min="12781" max="12781" width="9.5546875" style="13" bestFit="1" customWidth="1"/>
    <col min="12782" max="12782" width="11.44140625" style="13" customWidth="1"/>
    <col min="12783" max="12783" width="9.109375" style="13" customWidth="1"/>
    <col min="12784" max="12785" width="10" style="13" customWidth="1"/>
    <col min="12786" max="12786" width="10.88671875" style="13" bestFit="1" customWidth="1"/>
    <col min="12787" max="13024" width="8.88671875" style="13"/>
    <col min="13025" max="13025" width="66.5546875" style="13" bestFit="1" customWidth="1"/>
    <col min="13026" max="13026" width="11.5546875" style="13" bestFit="1" customWidth="1"/>
    <col min="13027" max="13027" width="8.88671875" style="13" bestFit="1" customWidth="1"/>
    <col min="13028" max="13028" width="10" style="13" customWidth="1"/>
    <col min="13029" max="13029" width="12.109375" style="13" bestFit="1" customWidth="1"/>
    <col min="13030" max="13030" width="13.88671875" style="13" bestFit="1" customWidth="1"/>
    <col min="13031" max="13031" width="13.44140625" style="13" customWidth="1"/>
    <col min="13032" max="13032" width="12.109375" style="13" customWidth="1"/>
    <col min="13033" max="13033" width="11.88671875" style="13" customWidth="1"/>
    <col min="13034" max="13034" width="12.44140625" style="13" customWidth="1"/>
    <col min="13035" max="13035" width="11.44140625" style="13" customWidth="1"/>
    <col min="13036" max="13036" width="13.109375" style="13" bestFit="1" customWidth="1"/>
    <col min="13037" max="13037" width="9.5546875" style="13" bestFit="1" customWidth="1"/>
    <col min="13038" max="13038" width="11.44140625" style="13" customWidth="1"/>
    <col min="13039" max="13039" width="9.109375" style="13" customWidth="1"/>
    <col min="13040" max="13041" width="10" style="13" customWidth="1"/>
    <col min="13042" max="13042" width="10.88671875" style="13" bestFit="1" customWidth="1"/>
    <col min="13043" max="13280" width="8.88671875" style="13"/>
    <col min="13281" max="13281" width="66.5546875" style="13" bestFit="1" customWidth="1"/>
    <col min="13282" max="13282" width="11.5546875" style="13" bestFit="1" customWidth="1"/>
    <col min="13283" max="13283" width="8.88671875" style="13" bestFit="1" customWidth="1"/>
    <col min="13284" max="13284" width="10" style="13" customWidth="1"/>
    <col min="13285" max="13285" width="12.109375" style="13" bestFit="1" customWidth="1"/>
    <col min="13286" max="13286" width="13.88671875" style="13" bestFit="1" customWidth="1"/>
    <col min="13287" max="13287" width="13.44140625" style="13" customWidth="1"/>
    <col min="13288" max="13288" width="12.109375" style="13" customWidth="1"/>
    <col min="13289" max="13289" width="11.88671875" style="13" customWidth="1"/>
    <col min="13290" max="13290" width="12.44140625" style="13" customWidth="1"/>
    <col min="13291" max="13291" width="11.44140625" style="13" customWidth="1"/>
    <col min="13292" max="13292" width="13.109375" style="13" bestFit="1" customWidth="1"/>
    <col min="13293" max="13293" width="9.5546875" style="13" bestFit="1" customWidth="1"/>
    <col min="13294" max="13294" width="11.44140625" style="13" customWidth="1"/>
    <col min="13295" max="13295" width="9.109375" style="13" customWidth="1"/>
    <col min="13296" max="13297" width="10" style="13" customWidth="1"/>
    <col min="13298" max="13298" width="10.88671875" style="13" bestFit="1" customWidth="1"/>
    <col min="13299" max="13536" width="8.88671875" style="13"/>
    <col min="13537" max="13537" width="66.5546875" style="13" bestFit="1" customWidth="1"/>
    <col min="13538" max="13538" width="11.5546875" style="13" bestFit="1" customWidth="1"/>
    <col min="13539" max="13539" width="8.88671875" style="13" bestFit="1" customWidth="1"/>
    <col min="13540" max="13540" width="10" style="13" customWidth="1"/>
    <col min="13541" max="13541" width="12.109375" style="13" bestFit="1" customWidth="1"/>
    <col min="13542" max="13542" width="13.88671875" style="13" bestFit="1" customWidth="1"/>
    <col min="13543" max="13543" width="13.44140625" style="13" customWidth="1"/>
    <col min="13544" max="13544" width="12.109375" style="13" customWidth="1"/>
    <col min="13545" max="13545" width="11.88671875" style="13" customWidth="1"/>
    <col min="13546" max="13546" width="12.44140625" style="13" customWidth="1"/>
    <col min="13547" max="13547" width="11.44140625" style="13" customWidth="1"/>
    <col min="13548" max="13548" width="13.109375" style="13" bestFit="1" customWidth="1"/>
    <col min="13549" max="13549" width="9.5546875" style="13" bestFit="1" customWidth="1"/>
    <col min="13550" max="13550" width="11.44140625" style="13" customWidth="1"/>
    <col min="13551" max="13551" width="9.109375" style="13" customWidth="1"/>
    <col min="13552" max="13553" width="10" style="13" customWidth="1"/>
    <col min="13554" max="13554" width="10.88671875" style="13" bestFit="1" customWidth="1"/>
    <col min="13555" max="13792" width="8.88671875" style="13"/>
    <col min="13793" max="13793" width="66.5546875" style="13" bestFit="1" customWidth="1"/>
    <col min="13794" max="13794" width="11.5546875" style="13" bestFit="1" customWidth="1"/>
    <col min="13795" max="13795" width="8.88671875" style="13" bestFit="1" customWidth="1"/>
    <col min="13796" max="13796" width="10" style="13" customWidth="1"/>
    <col min="13797" max="13797" width="12.109375" style="13" bestFit="1" customWidth="1"/>
    <col min="13798" max="13798" width="13.88671875" style="13" bestFit="1" customWidth="1"/>
    <col min="13799" max="13799" width="13.44140625" style="13" customWidth="1"/>
    <col min="13800" max="13800" width="12.109375" style="13" customWidth="1"/>
    <col min="13801" max="13801" width="11.88671875" style="13" customWidth="1"/>
    <col min="13802" max="13802" width="12.44140625" style="13" customWidth="1"/>
    <col min="13803" max="13803" width="11.44140625" style="13" customWidth="1"/>
    <col min="13804" max="13804" width="13.109375" style="13" bestFit="1" customWidth="1"/>
    <col min="13805" max="13805" width="9.5546875" style="13" bestFit="1" customWidth="1"/>
    <col min="13806" max="13806" width="11.44140625" style="13" customWidth="1"/>
    <col min="13807" max="13807" width="9.109375" style="13" customWidth="1"/>
    <col min="13808" max="13809" width="10" style="13" customWidth="1"/>
    <col min="13810" max="13810" width="10.88671875" style="13" bestFit="1" customWidth="1"/>
    <col min="13811" max="14048" width="8.88671875" style="13"/>
    <col min="14049" max="14049" width="66.5546875" style="13" bestFit="1" customWidth="1"/>
    <col min="14050" max="14050" width="11.5546875" style="13" bestFit="1" customWidth="1"/>
    <col min="14051" max="14051" width="8.88671875" style="13" bestFit="1" customWidth="1"/>
    <col min="14052" max="14052" width="10" style="13" customWidth="1"/>
    <col min="14053" max="14053" width="12.109375" style="13" bestFit="1" customWidth="1"/>
    <col min="14054" max="14054" width="13.88671875" style="13" bestFit="1" customWidth="1"/>
    <col min="14055" max="14055" width="13.44140625" style="13" customWidth="1"/>
    <col min="14056" max="14056" width="12.109375" style="13" customWidth="1"/>
    <col min="14057" max="14057" width="11.88671875" style="13" customWidth="1"/>
    <col min="14058" max="14058" width="12.44140625" style="13" customWidth="1"/>
    <col min="14059" max="14059" width="11.44140625" style="13" customWidth="1"/>
    <col min="14060" max="14060" width="13.109375" style="13" bestFit="1" customWidth="1"/>
    <col min="14061" max="14061" width="9.5546875" style="13" bestFit="1" customWidth="1"/>
    <col min="14062" max="14062" width="11.44140625" style="13" customWidth="1"/>
    <col min="14063" max="14063" width="9.109375" style="13" customWidth="1"/>
    <col min="14064" max="14065" width="10" style="13" customWidth="1"/>
    <col min="14066" max="14066" width="10.88671875" style="13" bestFit="1" customWidth="1"/>
    <col min="14067" max="14304" width="8.88671875" style="13"/>
    <col min="14305" max="14305" width="66.5546875" style="13" bestFit="1" customWidth="1"/>
    <col min="14306" max="14306" width="11.5546875" style="13" bestFit="1" customWidth="1"/>
    <col min="14307" max="14307" width="8.88671875" style="13" bestFit="1" customWidth="1"/>
    <col min="14308" max="14308" width="10" style="13" customWidth="1"/>
    <col min="14309" max="14309" width="12.109375" style="13" bestFit="1" customWidth="1"/>
    <col min="14310" max="14310" width="13.88671875" style="13" bestFit="1" customWidth="1"/>
    <col min="14311" max="14311" width="13.44140625" style="13" customWidth="1"/>
    <col min="14312" max="14312" width="12.109375" style="13" customWidth="1"/>
    <col min="14313" max="14313" width="11.88671875" style="13" customWidth="1"/>
    <col min="14314" max="14314" width="12.44140625" style="13" customWidth="1"/>
    <col min="14315" max="14315" width="11.44140625" style="13" customWidth="1"/>
    <col min="14316" max="14316" width="13.109375" style="13" bestFit="1" customWidth="1"/>
    <col min="14317" max="14317" width="9.5546875" style="13" bestFit="1" customWidth="1"/>
    <col min="14318" max="14318" width="11.44140625" style="13" customWidth="1"/>
    <col min="14319" max="14319" width="9.109375" style="13" customWidth="1"/>
    <col min="14320" max="14321" width="10" style="13" customWidth="1"/>
    <col min="14322" max="14322" width="10.88671875" style="13" bestFit="1" customWidth="1"/>
    <col min="14323" max="14560" width="8.88671875" style="13"/>
    <col min="14561" max="14561" width="66.5546875" style="13" bestFit="1" customWidth="1"/>
    <col min="14562" max="14562" width="11.5546875" style="13" bestFit="1" customWidth="1"/>
    <col min="14563" max="14563" width="8.88671875" style="13" bestFit="1" customWidth="1"/>
    <col min="14564" max="14564" width="10" style="13" customWidth="1"/>
    <col min="14565" max="14565" width="12.109375" style="13" bestFit="1" customWidth="1"/>
    <col min="14566" max="14566" width="13.88671875" style="13" bestFit="1" customWidth="1"/>
    <col min="14567" max="14567" width="13.44140625" style="13" customWidth="1"/>
    <col min="14568" max="14568" width="12.109375" style="13" customWidth="1"/>
    <col min="14569" max="14569" width="11.88671875" style="13" customWidth="1"/>
    <col min="14570" max="14570" width="12.44140625" style="13" customWidth="1"/>
    <col min="14571" max="14571" width="11.44140625" style="13" customWidth="1"/>
    <col min="14572" max="14572" width="13.109375" style="13" bestFit="1" customWidth="1"/>
    <col min="14573" max="14573" width="9.5546875" style="13" bestFit="1" customWidth="1"/>
    <col min="14574" max="14574" width="11.44140625" style="13" customWidth="1"/>
    <col min="14575" max="14575" width="9.109375" style="13" customWidth="1"/>
    <col min="14576" max="14577" width="10" style="13" customWidth="1"/>
    <col min="14578" max="14578" width="10.88671875" style="13" bestFit="1" customWidth="1"/>
    <col min="14579" max="14816" width="8.88671875" style="13"/>
    <col min="14817" max="14817" width="66.5546875" style="13" bestFit="1" customWidth="1"/>
    <col min="14818" max="14818" width="11.5546875" style="13" bestFit="1" customWidth="1"/>
    <col min="14819" max="14819" width="8.88671875" style="13" bestFit="1" customWidth="1"/>
    <col min="14820" max="14820" width="10" style="13" customWidth="1"/>
    <col min="14821" max="14821" width="12.109375" style="13" bestFit="1" customWidth="1"/>
    <col min="14822" max="14822" width="13.88671875" style="13" bestFit="1" customWidth="1"/>
    <col min="14823" max="14823" width="13.44140625" style="13" customWidth="1"/>
    <col min="14824" max="14824" width="12.109375" style="13" customWidth="1"/>
    <col min="14825" max="14825" width="11.88671875" style="13" customWidth="1"/>
    <col min="14826" max="14826" width="12.44140625" style="13" customWidth="1"/>
    <col min="14827" max="14827" width="11.44140625" style="13" customWidth="1"/>
    <col min="14828" max="14828" width="13.109375" style="13" bestFit="1" customWidth="1"/>
    <col min="14829" max="14829" width="9.5546875" style="13" bestFit="1" customWidth="1"/>
    <col min="14830" max="14830" width="11.44140625" style="13" customWidth="1"/>
    <col min="14831" max="14831" width="9.109375" style="13" customWidth="1"/>
    <col min="14832" max="14833" width="10" style="13" customWidth="1"/>
    <col min="14834" max="14834" width="10.88671875" style="13" bestFit="1" customWidth="1"/>
    <col min="14835" max="15072" width="8.88671875" style="13"/>
    <col min="15073" max="15073" width="66.5546875" style="13" bestFit="1" customWidth="1"/>
    <col min="15074" max="15074" width="11.5546875" style="13" bestFit="1" customWidth="1"/>
    <col min="15075" max="15075" width="8.88671875" style="13" bestFit="1" customWidth="1"/>
    <col min="15076" max="15076" width="10" style="13" customWidth="1"/>
    <col min="15077" max="15077" width="12.109375" style="13" bestFit="1" customWidth="1"/>
    <col min="15078" max="15078" width="13.88671875" style="13" bestFit="1" customWidth="1"/>
    <col min="15079" max="15079" width="13.44140625" style="13" customWidth="1"/>
    <col min="15080" max="15080" width="12.109375" style="13" customWidth="1"/>
    <col min="15081" max="15081" width="11.88671875" style="13" customWidth="1"/>
    <col min="15082" max="15082" width="12.44140625" style="13" customWidth="1"/>
    <col min="15083" max="15083" width="11.44140625" style="13" customWidth="1"/>
    <col min="15084" max="15084" width="13.109375" style="13" bestFit="1" customWidth="1"/>
    <col min="15085" max="15085" width="9.5546875" style="13" bestFit="1" customWidth="1"/>
    <col min="15086" max="15086" width="11.44140625" style="13" customWidth="1"/>
    <col min="15087" max="15087" width="9.109375" style="13" customWidth="1"/>
    <col min="15088" max="15089" width="10" style="13" customWidth="1"/>
    <col min="15090" max="15090" width="10.88671875" style="13" bestFit="1" customWidth="1"/>
    <col min="15091" max="15328" width="8.88671875" style="13"/>
    <col min="15329" max="15329" width="66.5546875" style="13" bestFit="1" customWidth="1"/>
    <col min="15330" max="15330" width="11.5546875" style="13" bestFit="1" customWidth="1"/>
    <col min="15331" max="15331" width="8.88671875" style="13" bestFit="1" customWidth="1"/>
    <col min="15332" max="15332" width="10" style="13" customWidth="1"/>
    <col min="15333" max="15333" width="12.109375" style="13" bestFit="1" customWidth="1"/>
    <col min="15334" max="15334" width="13.88671875" style="13" bestFit="1" customWidth="1"/>
    <col min="15335" max="15335" width="13.44140625" style="13" customWidth="1"/>
    <col min="15336" max="15336" width="12.109375" style="13" customWidth="1"/>
    <col min="15337" max="15337" width="11.88671875" style="13" customWidth="1"/>
    <col min="15338" max="15338" width="12.44140625" style="13" customWidth="1"/>
    <col min="15339" max="15339" width="11.44140625" style="13" customWidth="1"/>
    <col min="15340" max="15340" width="13.109375" style="13" bestFit="1" customWidth="1"/>
    <col min="15341" max="15341" width="9.5546875" style="13" bestFit="1" customWidth="1"/>
    <col min="15342" max="15342" width="11.44140625" style="13" customWidth="1"/>
    <col min="15343" max="15343" width="9.109375" style="13" customWidth="1"/>
    <col min="15344" max="15345" width="10" style="13" customWidth="1"/>
    <col min="15346" max="15346" width="10.88671875" style="13" bestFit="1" customWidth="1"/>
    <col min="15347" max="15584" width="8.88671875" style="13"/>
    <col min="15585" max="15585" width="66.5546875" style="13" bestFit="1" customWidth="1"/>
    <col min="15586" max="15586" width="11.5546875" style="13" bestFit="1" customWidth="1"/>
    <col min="15587" max="15587" width="8.88671875" style="13" bestFit="1" customWidth="1"/>
    <col min="15588" max="15588" width="10" style="13" customWidth="1"/>
    <col min="15589" max="15589" width="12.109375" style="13" bestFit="1" customWidth="1"/>
    <col min="15590" max="15590" width="13.88671875" style="13" bestFit="1" customWidth="1"/>
    <col min="15591" max="15591" width="13.44140625" style="13" customWidth="1"/>
    <col min="15592" max="15592" width="12.109375" style="13" customWidth="1"/>
    <col min="15593" max="15593" width="11.88671875" style="13" customWidth="1"/>
    <col min="15594" max="15594" width="12.44140625" style="13" customWidth="1"/>
    <col min="15595" max="15595" width="11.44140625" style="13" customWidth="1"/>
    <col min="15596" max="15596" width="13.109375" style="13" bestFit="1" customWidth="1"/>
    <col min="15597" max="15597" width="9.5546875" style="13" bestFit="1" customWidth="1"/>
    <col min="15598" max="15598" width="11.44140625" style="13" customWidth="1"/>
    <col min="15599" max="15599" width="9.109375" style="13" customWidth="1"/>
    <col min="15600" max="15601" width="10" style="13" customWidth="1"/>
    <col min="15602" max="15602" width="10.88671875" style="13" bestFit="1" customWidth="1"/>
    <col min="15603" max="15840" width="8.88671875" style="13"/>
    <col min="15841" max="15841" width="66.5546875" style="13" bestFit="1" customWidth="1"/>
    <col min="15842" max="15842" width="11.5546875" style="13" bestFit="1" customWidth="1"/>
    <col min="15843" max="15843" width="8.88671875" style="13" bestFit="1" customWidth="1"/>
    <col min="15844" max="15844" width="10" style="13" customWidth="1"/>
    <col min="15845" max="15845" width="12.109375" style="13" bestFit="1" customWidth="1"/>
    <col min="15846" max="15846" width="13.88671875" style="13" bestFit="1" customWidth="1"/>
    <col min="15847" max="15847" width="13.44140625" style="13" customWidth="1"/>
    <col min="15848" max="15848" width="12.109375" style="13" customWidth="1"/>
    <col min="15849" max="15849" width="11.88671875" style="13" customWidth="1"/>
    <col min="15850" max="15850" width="12.44140625" style="13" customWidth="1"/>
    <col min="15851" max="15851" width="11.44140625" style="13" customWidth="1"/>
    <col min="15852" max="15852" width="13.109375" style="13" bestFit="1" customWidth="1"/>
    <col min="15853" max="15853" width="9.5546875" style="13" bestFit="1" customWidth="1"/>
    <col min="15854" max="15854" width="11.44140625" style="13" customWidth="1"/>
    <col min="15855" max="15855" width="9.109375" style="13" customWidth="1"/>
    <col min="15856" max="15857" width="10" style="13" customWidth="1"/>
    <col min="15858" max="15858" width="10.88671875" style="13" bestFit="1" customWidth="1"/>
    <col min="15859" max="16096" width="8.88671875" style="13"/>
    <col min="16097" max="16097" width="66.5546875" style="13" bestFit="1" customWidth="1"/>
    <col min="16098" max="16098" width="11.5546875" style="13" bestFit="1" customWidth="1"/>
    <col min="16099" max="16099" width="8.88671875" style="13" bestFit="1" customWidth="1"/>
    <col min="16100" max="16100" width="10" style="13" customWidth="1"/>
    <col min="16101" max="16101" width="12.109375" style="13" bestFit="1" customWidth="1"/>
    <col min="16102" max="16102" width="13.88671875" style="13" bestFit="1" customWidth="1"/>
    <col min="16103" max="16103" width="13.44140625" style="13" customWidth="1"/>
    <col min="16104" max="16104" width="12.109375" style="13" customWidth="1"/>
    <col min="16105" max="16105" width="11.88671875" style="13" customWidth="1"/>
    <col min="16106" max="16106" width="12.44140625" style="13" customWidth="1"/>
    <col min="16107" max="16107" width="11.44140625" style="13" customWidth="1"/>
    <col min="16108" max="16108" width="13.109375" style="13" bestFit="1" customWidth="1"/>
    <col min="16109" max="16109" width="9.5546875" style="13" bestFit="1" customWidth="1"/>
    <col min="16110" max="16110" width="11.44140625" style="13" customWidth="1"/>
    <col min="16111" max="16111" width="9.109375" style="13" customWidth="1"/>
    <col min="16112" max="16113" width="10" style="13" customWidth="1"/>
    <col min="16114" max="16114" width="10.88671875" style="13" bestFit="1" customWidth="1"/>
    <col min="16115" max="16384" width="8.88671875" style="13"/>
  </cols>
  <sheetData>
    <row r="1" spans="1:27" x14ac:dyDescent="0.2">
      <c r="A1" s="1" t="s">
        <v>65</v>
      </c>
      <c r="B1" s="1" t="s">
        <v>66</v>
      </c>
      <c r="C1" s="55">
        <v>44835</v>
      </c>
      <c r="D1" s="55">
        <v>44927</v>
      </c>
      <c r="E1" s="55">
        <v>45017</v>
      </c>
      <c r="F1" s="55">
        <v>45108</v>
      </c>
      <c r="G1" s="55">
        <v>45200</v>
      </c>
      <c r="H1" s="55">
        <v>45292</v>
      </c>
      <c r="I1" s="55">
        <v>45383</v>
      </c>
      <c r="J1" s="55">
        <v>45474</v>
      </c>
      <c r="K1" s="55">
        <v>45566</v>
      </c>
      <c r="L1" s="55">
        <v>45658</v>
      </c>
      <c r="M1" s="55">
        <v>45748</v>
      </c>
      <c r="N1" s="55">
        <v>45839</v>
      </c>
      <c r="O1" s="55">
        <v>45931</v>
      </c>
      <c r="P1" s="55">
        <v>46023</v>
      </c>
      <c r="Q1" s="55">
        <v>46113</v>
      </c>
      <c r="R1" s="55">
        <v>46204</v>
      </c>
      <c r="S1" s="55">
        <v>46296</v>
      </c>
      <c r="T1" s="55">
        <v>46388</v>
      </c>
      <c r="U1" s="55">
        <v>46478</v>
      </c>
      <c r="V1" s="55">
        <v>46569</v>
      </c>
      <c r="W1" s="55">
        <v>46661</v>
      </c>
      <c r="X1" s="55">
        <v>46753</v>
      </c>
      <c r="Y1" s="55">
        <v>46844</v>
      </c>
      <c r="Z1" s="55">
        <v>46935</v>
      </c>
      <c r="AA1" s="55">
        <v>47027</v>
      </c>
    </row>
    <row r="2" spans="1:27" x14ac:dyDescent="0.2">
      <c r="A2" s="12" t="s">
        <v>22</v>
      </c>
      <c r="B2" s="12" t="s">
        <v>67</v>
      </c>
      <c r="C2" s="42">
        <v>1213.54</v>
      </c>
      <c r="D2" s="42">
        <v>1259.6119916773132</v>
      </c>
      <c r="E2" s="42">
        <v>1303.3384476672559</v>
      </c>
      <c r="F2" s="42">
        <v>1354.4274331589963</v>
      </c>
      <c r="G2" s="42">
        <v>1391.9210598884429</v>
      </c>
      <c r="H2" s="42">
        <v>1435.1031649001236</v>
      </c>
      <c r="I2" s="42">
        <v>1476.2019135187759</v>
      </c>
      <c r="J2" s="42">
        <v>1533.1835104022182</v>
      </c>
      <c r="K2" s="42">
        <v>1579.9145707207999</v>
      </c>
      <c r="L2" s="42">
        <v>1625.4824131266896</v>
      </c>
      <c r="M2" s="42">
        <v>1669.108571869863</v>
      </c>
      <c r="N2" s="42">
        <v>1719.2083026832006</v>
      </c>
      <c r="O2" s="42">
        <v>1770.4196325945147</v>
      </c>
      <c r="P2" s="42">
        <v>0</v>
      </c>
      <c r="Q2" s="42">
        <f t="shared" ref="Q2:AA2" ca="1" si="0">P2*(RAND()*(1.04-1.025)+1.025)</f>
        <v>0</v>
      </c>
      <c r="R2" s="42">
        <f t="shared" ca="1" si="0"/>
        <v>0</v>
      </c>
      <c r="S2" s="42">
        <f t="shared" ca="1" si="0"/>
        <v>0</v>
      </c>
      <c r="T2" s="42">
        <f t="shared" ca="1" si="0"/>
        <v>0</v>
      </c>
      <c r="U2" s="42">
        <f t="shared" ca="1" si="0"/>
        <v>0</v>
      </c>
      <c r="V2" s="42">
        <f t="shared" ca="1" si="0"/>
        <v>0</v>
      </c>
      <c r="W2" s="42">
        <f t="shared" ca="1" si="0"/>
        <v>0</v>
      </c>
      <c r="X2" s="42">
        <f t="shared" ca="1" si="0"/>
        <v>0</v>
      </c>
      <c r="Y2" s="42">
        <f t="shared" ca="1" si="0"/>
        <v>0</v>
      </c>
      <c r="Z2" s="42">
        <f t="shared" ca="1" si="0"/>
        <v>0</v>
      </c>
      <c r="AA2" s="42">
        <f t="shared" ca="1" si="0"/>
        <v>0</v>
      </c>
    </row>
    <row r="3" spans="1:27" x14ac:dyDescent="0.2">
      <c r="A3" s="12" t="s">
        <v>22</v>
      </c>
      <c r="B3" s="12" t="s">
        <v>68</v>
      </c>
      <c r="C3" s="42">
        <v>231.45</v>
      </c>
      <c r="D3" s="42">
        <v>261.0324318424361</v>
      </c>
      <c r="E3" s="42">
        <v>265.49974710968894</v>
      </c>
      <c r="F3" s="42">
        <v>284.00177735562784</v>
      </c>
      <c r="G3" s="42">
        <v>269.90844298357138</v>
      </c>
      <c r="H3" s="42">
        <v>269.20512434285547</v>
      </c>
      <c r="I3" s="42">
        <v>268.87171964706636</v>
      </c>
      <c r="J3" s="42">
        <v>261.20963034327553</v>
      </c>
      <c r="K3" s="42">
        <v>249.07599529331469</v>
      </c>
      <c r="L3" s="42">
        <v>280.72525400447029</v>
      </c>
      <c r="M3" s="42">
        <v>287.83389450785563</v>
      </c>
      <c r="N3" s="42">
        <v>281.51813210908875</v>
      </c>
      <c r="O3" s="42">
        <v>318.77545341054235</v>
      </c>
      <c r="P3" s="42">
        <v>0</v>
      </c>
      <c r="Q3" s="42">
        <f t="shared" ref="Q3:AA3" ca="1" si="1">P3*(RAND()*(1.15-0.93)+0.93)</f>
        <v>0</v>
      </c>
      <c r="R3" s="42">
        <f t="shared" ca="1" si="1"/>
        <v>0</v>
      </c>
      <c r="S3" s="42">
        <f t="shared" ca="1" si="1"/>
        <v>0</v>
      </c>
      <c r="T3" s="42">
        <f t="shared" ca="1" si="1"/>
        <v>0</v>
      </c>
      <c r="U3" s="42">
        <f t="shared" ca="1" si="1"/>
        <v>0</v>
      </c>
      <c r="V3" s="42">
        <f t="shared" ca="1" si="1"/>
        <v>0</v>
      </c>
      <c r="W3" s="42">
        <f t="shared" ca="1" si="1"/>
        <v>0</v>
      </c>
      <c r="X3" s="42">
        <f t="shared" ca="1" si="1"/>
        <v>0</v>
      </c>
      <c r="Y3" s="42">
        <f t="shared" ca="1" si="1"/>
        <v>0</v>
      </c>
      <c r="Z3" s="42">
        <f t="shared" ca="1" si="1"/>
        <v>0</v>
      </c>
      <c r="AA3" s="42">
        <f t="shared" ca="1" si="1"/>
        <v>0</v>
      </c>
    </row>
    <row r="4" spans="1:27" x14ac:dyDescent="0.2">
      <c r="A4" s="12" t="s">
        <v>22</v>
      </c>
      <c r="B4" s="12" t="s">
        <v>73</v>
      </c>
      <c r="C4" s="42">
        <v>3133.4</v>
      </c>
      <c r="D4" s="42">
        <v>3045.1297280432527</v>
      </c>
      <c r="E4" s="42">
        <v>3090.5479430164992</v>
      </c>
      <c r="F4" s="42">
        <v>3552.5213779763171</v>
      </c>
      <c r="G4" s="42">
        <v>3831.033458579067</v>
      </c>
      <c r="H4" s="42">
        <v>4334.5663300433444</v>
      </c>
      <c r="I4" s="42">
        <v>4463.8460764545343</v>
      </c>
      <c r="J4" s="42">
        <v>4545.6562650672095</v>
      </c>
      <c r="K4" s="42">
        <v>4853.0415300983441</v>
      </c>
      <c r="L4" s="42">
        <v>5220.1144743045124</v>
      </c>
      <c r="M4" s="42">
        <v>5802.2081723741831</v>
      </c>
      <c r="N4" s="42">
        <v>6133.3318474775015</v>
      </c>
      <c r="O4" s="42">
        <v>6888.5989616951692</v>
      </c>
      <c r="P4" s="42">
        <v>0</v>
      </c>
      <c r="Q4" s="42">
        <f t="shared" ref="Q4:AA4" ca="1" si="2">P4*(RAND()*(1.15-0.93)+0.93)</f>
        <v>0</v>
      </c>
      <c r="R4" s="42">
        <f t="shared" ca="1" si="2"/>
        <v>0</v>
      </c>
      <c r="S4" s="42">
        <f t="shared" ca="1" si="2"/>
        <v>0</v>
      </c>
      <c r="T4" s="42">
        <f t="shared" ca="1" si="2"/>
        <v>0</v>
      </c>
      <c r="U4" s="42">
        <f t="shared" ca="1" si="2"/>
        <v>0</v>
      </c>
      <c r="V4" s="42">
        <f t="shared" ca="1" si="2"/>
        <v>0</v>
      </c>
      <c r="W4" s="42">
        <f t="shared" ca="1" si="2"/>
        <v>0</v>
      </c>
      <c r="X4" s="42">
        <f t="shared" ca="1" si="2"/>
        <v>0</v>
      </c>
      <c r="Y4" s="42">
        <f t="shared" ca="1" si="2"/>
        <v>0</v>
      </c>
      <c r="Z4" s="42">
        <f t="shared" ca="1" si="2"/>
        <v>0</v>
      </c>
      <c r="AA4" s="42">
        <f t="shared" ca="1" si="2"/>
        <v>0</v>
      </c>
    </row>
    <row r="5" spans="1:27" x14ac:dyDescent="0.2">
      <c r="A5" s="12" t="s">
        <v>22</v>
      </c>
      <c r="B5" s="12" t="s">
        <v>74</v>
      </c>
      <c r="C5" s="42">
        <v>124.6</v>
      </c>
      <c r="D5" s="42">
        <v>128.82975348740206</v>
      </c>
      <c r="E5" s="42">
        <v>134.67439761928912</v>
      </c>
      <c r="F5" s="42">
        <v>139.53920644560381</v>
      </c>
      <c r="G5" s="42">
        <v>142.34560998917291</v>
      </c>
      <c r="H5" s="42">
        <v>144.02960101823581</v>
      </c>
      <c r="I5" s="42">
        <v>147.31621766360294</v>
      </c>
      <c r="J5" s="42">
        <v>149.05273780364419</v>
      </c>
      <c r="K5" s="42">
        <v>155.5836265352481</v>
      </c>
      <c r="L5" s="42">
        <v>158.7910897914908</v>
      </c>
      <c r="M5" s="42">
        <v>160.55219753626932</v>
      </c>
      <c r="N5" s="42">
        <v>168.28769533932251</v>
      </c>
      <c r="O5" s="42">
        <v>170.20831021463476</v>
      </c>
      <c r="P5" s="42">
        <v>0</v>
      </c>
      <c r="Q5" s="42">
        <f t="shared" ref="Q5:AA5" ca="1" si="3">P5*(RAND()*(1.05-1.1)+1.05)</f>
        <v>0</v>
      </c>
      <c r="R5" s="42">
        <f t="shared" ca="1" si="3"/>
        <v>0</v>
      </c>
      <c r="S5" s="42">
        <f t="shared" ca="1" si="3"/>
        <v>0</v>
      </c>
      <c r="T5" s="42">
        <f t="shared" ca="1" si="3"/>
        <v>0</v>
      </c>
      <c r="U5" s="42">
        <f t="shared" ca="1" si="3"/>
        <v>0</v>
      </c>
      <c r="V5" s="42">
        <f t="shared" ca="1" si="3"/>
        <v>0</v>
      </c>
      <c r="W5" s="42">
        <f t="shared" ca="1" si="3"/>
        <v>0</v>
      </c>
      <c r="X5" s="42">
        <f t="shared" ca="1" si="3"/>
        <v>0</v>
      </c>
      <c r="Y5" s="42">
        <f t="shared" ca="1" si="3"/>
        <v>0</v>
      </c>
      <c r="Z5" s="42">
        <f t="shared" ca="1" si="3"/>
        <v>0</v>
      </c>
      <c r="AA5" s="42">
        <f t="shared" ca="1" si="3"/>
        <v>0</v>
      </c>
    </row>
    <row r="6" spans="1:27" x14ac:dyDescent="0.2">
      <c r="A6" s="12" t="s">
        <v>22</v>
      </c>
      <c r="B6" s="12" t="s">
        <v>75</v>
      </c>
      <c r="C6" s="42">
        <v>454.3</v>
      </c>
      <c r="D6" s="42">
        <v>466.74773778966056</v>
      </c>
      <c r="E6" s="42">
        <v>479.10852457083382</v>
      </c>
      <c r="F6" s="42">
        <v>492.53368107939627</v>
      </c>
      <c r="G6" s="42">
        <v>515.17548698779183</v>
      </c>
      <c r="H6" s="42">
        <v>528.77931611078793</v>
      </c>
      <c r="I6" s="42">
        <v>544.84115924274636</v>
      </c>
      <c r="J6" s="42">
        <v>556.04155066691487</v>
      </c>
      <c r="K6" s="42">
        <v>571.86402567651908</v>
      </c>
      <c r="L6" s="42">
        <v>590.23953957237086</v>
      </c>
      <c r="M6" s="42">
        <v>617.6334723417333</v>
      </c>
      <c r="N6" s="42">
        <v>625.76083461715245</v>
      </c>
      <c r="O6" s="42">
        <v>649.43944353549239</v>
      </c>
      <c r="P6" s="42">
        <v>0</v>
      </c>
      <c r="Q6" s="42">
        <f t="shared" ref="Q6:AA6" ca="1" si="4">P6*(RAND()*(1.05-1.01)+1.01)</f>
        <v>0</v>
      </c>
      <c r="R6" s="42">
        <f t="shared" ca="1" si="4"/>
        <v>0</v>
      </c>
      <c r="S6" s="42">
        <f t="shared" ca="1" si="4"/>
        <v>0</v>
      </c>
      <c r="T6" s="42">
        <f t="shared" ca="1" si="4"/>
        <v>0</v>
      </c>
      <c r="U6" s="42">
        <f t="shared" ca="1" si="4"/>
        <v>0</v>
      </c>
      <c r="V6" s="42">
        <f t="shared" ca="1" si="4"/>
        <v>0</v>
      </c>
      <c r="W6" s="42">
        <f t="shared" ca="1" si="4"/>
        <v>0</v>
      </c>
      <c r="X6" s="42">
        <f t="shared" ca="1" si="4"/>
        <v>0</v>
      </c>
      <c r="Y6" s="42">
        <f t="shared" ca="1" si="4"/>
        <v>0</v>
      </c>
      <c r="Z6" s="42">
        <f t="shared" ca="1" si="4"/>
        <v>0</v>
      </c>
      <c r="AA6" s="42">
        <f t="shared" ca="1" si="4"/>
        <v>0</v>
      </c>
    </row>
    <row r="7" spans="1:27" x14ac:dyDescent="0.2">
      <c r="A7" s="12" t="s">
        <v>22</v>
      </c>
      <c r="B7" s="12" t="s">
        <v>76</v>
      </c>
      <c r="C7" s="42">
        <v>64.12</v>
      </c>
      <c r="D7" s="42">
        <v>64.12</v>
      </c>
      <c r="E7" s="42">
        <v>64.12</v>
      </c>
      <c r="F7" s="42">
        <v>64.12</v>
      </c>
      <c r="G7" s="42">
        <v>64.12</v>
      </c>
      <c r="H7" s="42">
        <v>64.12</v>
      </c>
      <c r="I7" s="42">
        <v>64.12</v>
      </c>
      <c r="J7" s="42">
        <v>64.12</v>
      </c>
      <c r="K7" s="42">
        <v>64.12</v>
      </c>
      <c r="L7" s="42">
        <v>64.12</v>
      </c>
      <c r="M7" s="42">
        <v>64.12</v>
      </c>
      <c r="N7" s="42">
        <v>64.12</v>
      </c>
      <c r="O7" s="42">
        <v>64.12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</row>
    <row r="8" spans="1:27" x14ac:dyDescent="0.2">
      <c r="A8" s="12" t="s">
        <v>23</v>
      </c>
      <c r="B8" s="12" t="s">
        <v>67</v>
      </c>
      <c r="C8" s="42">
        <v>620.4</v>
      </c>
      <c r="D8" s="42">
        <v>638.39155432293933</v>
      </c>
      <c r="E8" s="42">
        <v>655.91464087809538</v>
      </c>
      <c r="F8" s="42">
        <v>674.6616350484976</v>
      </c>
      <c r="G8" s="42">
        <v>692.6777658495206</v>
      </c>
      <c r="H8" s="42">
        <v>713.40520600541333</v>
      </c>
      <c r="I8" s="42">
        <v>740.52879498389268</v>
      </c>
      <c r="J8" s="42">
        <v>762.27514411131676</v>
      </c>
      <c r="K8" s="42">
        <v>783.19380326725661</v>
      </c>
      <c r="L8" s="42">
        <v>808.85227702686404</v>
      </c>
      <c r="M8" s="42">
        <v>839.5549913032587</v>
      </c>
      <c r="N8" s="42">
        <v>868.35887250127155</v>
      </c>
      <c r="O8" s="42">
        <v>891.31608643755521</v>
      </c>
      <c r="P8" s="42">
        <v>0</v>
      </c>
      <c r="Q8" s="42">
        <f t="shared" ref="Q8:AA8" ca="1" si="5">P8*(RAND()*(1.04-1.025)+1.025)</f>
        <v>0</v>
      </c>
      <c r="R8" s="42">
        <f t="shared" ca="1" si="5"/>
        <v>0</v>
      </c>
      <c r="S8" s="42">
        <f t="shared" ca="1" si="5"/>
        <v>0</v>
      </c>
      <c r="T8" s="42">
        <f t="shared" ca="1" si="5"/>
        <v>0</v>
      </c>
      <c r="U8" s="42">
        <f t="shared" ca="1" si="5"/>
        <v>0</v>
      </c>
      <c r="V8" s="42">
        <f t="shared" ca="1" si="5"/>
        <v>0</v>
      </c>
      <c r="W8" s="42">
        <f t="shared" ca="1" si="5"/>
        <v>0</v>
      </c>
      <c r="X8" s="42">
        <f t="shared" ca="1" si="5"/>
        <v>0</v>
      </c>
      <c r="Y8" s="42">
        <f t="shared" ca="1" si="5"/>
        <v>0</v>
      </c>
      <c r="Z8" s="42">
        <f t="shared" ca="1" si="5"/>
        <v>0</v>
      </c>
      <c r="AA8" s="42">
        <f t="shared" ca="1" si="5"/>
        <v>0</v>
      </c>
    </row>
    <row r="9" spans="1:27" x14ac:dyDescent="0.2">
      <c r="A9" s="12" t="s">
        <v>23</v>
      </c>
      <c r="B9" s="12" t="s">
        <v>68</v>
      </c>
      <c r="C9" s="42">
        <v>406.30705861558494</v>
      </c>
      <c r="D9" s="42">
        <v>733.68749605800008</v>
      </c>
      <c r="E9" s="42">
        <v>965.50834941599987</v>
      </c>
      <c r="F9" s="42">
        <v>755.10175226399997</v>
      </c>
      <c r="G9" s="42">
        <v>648.81721488000017</v>
      </c>
      <c r="H9" s="42">
        <v>866.55734519999999</v>
      </c>
      <c r="I9" s="42">
        <v>957.69059879999998</v>
      </c>
      <c r="J9" s="42">
        <v>828.30601379999996</v>
      </c>
      <c r="K9" s="42">
        <v>608.79067508555295</v>
      </c>
      <c r="L9" s="42">
        <v>977.54154885360003</v>
      </c>
      <c r="M9" s="42">
        <v>1315.0039020013139</v>
      </c>
      <c r="N9" s="42">
        <v>856.92771477797896</v>
      </c>
      <c r="O9" s="42">
        <v>772.57751519999999</v>
      </c>
      <c r="P9" s="42">
        <f>'Cash Flow Statement_Actual'!O3*0.003</f>
        <v>0</v>
      </c>
      <c r="Q9" s="42">
        <f>'Cash Flow Statement_Actual'!P3*0.003</f>
        <v>0</v>
      </c>
      <c r="R9" s="42">
        <f>'Cash Flow Statement_Actual'!Q3*0.003</f>
        <v>0</v>
      </c>
      <c r="S9" s="42">
        <f>'Cash Flow Statement_Actual'!R3*0.003</f>
        <v>0</v>
      </c>
      <c r="T9" s="42">
        <f>'Cash Flow Statement_Actual'!S3*0.003</f>
        <v>0</v>
      </c>
      <c r="U9" s="42">
        <f>'Cash Flow Statement_Actual'!T3*0.003</f>
        <v>0</v>
      </c>
      <c r="V9" s="42">
        <f>'Cash Flow Statement_Actual'!U3*0.003</f>
        <v>0</v>
      </c>
      <c r="W9" s="42">
        <f>'Cash Flow Statement_Actual'!V3*0.003</f>
        <v>0</v>
      </c>
      <c r="X9" s="42">
        <f>'Cash Flow Statement_Actual'!W3*0.003</f>
        <v>0</v>
      </c>
      <c r="Y9" s="42">
        <f>'Cash Flow Statement_Actual'!X3*0.003</f>
        <v>0</v>
      </c>
      <c r="Z9" s="42">
        <f>'Cash Flow Statement_Actual'!Y3*0.003</f>
        <v>0</v>
      </c>
      <c r="AA9" s="42">
        <f>'Cash Flow Statement_Actual'!Z3*0.003</f>
        <v>0</v>
      </c>
    </row>
    <row r="10" spans="1:27" x14ac:dyDescent="0.2">
      <c r="A10" s="12" t="s">
        <v>23</v>
      </c>
      <c r="B10" s="12" t="s">
        <v>69</v>
      </c>
      <c r="C10" s="42">
        <v>248.6</v>
      </c>
      <c r="D10" s="42">
        <v>255.21261994967159</v>
      </c>
      <c r="E10" s="42">
        <v>261.66167363925848</v>
      </c>
      <c r="F10" s="42">
        <v>268.89322297495977</v>
      </c>
      <c r="G10" s="42">
        <v>279.28990407799279</v>
      </c>
      <c r="H10" s="42">
        <v>287.01607252179087</v>
      </c>
      <c r="I10" s="42">
        <v>294.70104992360979</v>
      </c>
      <c r="J10" s="42">
        <v>304.07208380824227</v>
      </c>
      <c r="K10" s="42">
        <v>315.33863257908104</v>
      </c>
      <c r="L10" s="42">
        <v>323.49892675355699</v>
      </c>
      <c r="M10" s="42">
        <v>335.13530987660852</v>
      </c>
      <c r="N10" s="42">
        <v>346.93767598519776</v>
      </c>
      <c r="O10" s="42">
        <v>360.4032421385167</v>
      </c>
      <c r="P10" s="42">
        <v>0</v>
      </c>
      <c r="Q10" s="42">
        <f t="shared" ref="Q10:AA10" ca="1" si="6">P10*(RAND()*(1.04-1.025)+1.025)</f>
        <v>0</v>
      </c>
      <c r="R10" s="42">
        <f t="shared" ca="1" si="6"/>
        <v>0</v>
      </c>
      <c r="S10" s="42">
        <f t="shared" ca="1" si="6"/>
        <v>0</v>
      </c>
      <c r="T10" s="42">
        <f t="shared" ca="1" si="6"/>
        <v>0</v>
      </c>
      <c r="U10" s="42">
        <f t="shared" ca="1" si="6"/>
        <v>0</v>
      </c>
      <c r="V10" s="42">
        <f t="shared" ca="1" si="6"/>
        <v>0</v>
      </c>
      <c r="W10" s="42">
        <f t="shared" ca="1" si="6"/>
        <v>0</v>
      </c>
      <c r="X10" s="42">
        <f t="shared" ca="1" si="6"/>
        <v>0</v>
      </c>
      <c r="Y10" s="42">
        <f t="shared" ca="1" si="6"/>
        <v>0</v>
      </c>
      <c r="Z10" s="42">
        <f t="shared" ca="1" si="6"/>
        <v>0</v>
      </c>
      <c r="AA10" s="42">
        <f t="shared" ca="1" si="6"/>
        <v>0</v>
      </c>
    </row>
    <row r="11" spans="1:27" x14ac:dyDescent="0.2">
      <c r="A11" s="12" t="s">
        <v>23</v>
      </c>
      <c r="B11" s="12" t="s">
        <v>70</v>
      </c>
      <c r="C11" s="42">
        <v>79.3</v>
      </c>
      <c r="D11" s="42">
        <v>89.794656742568591</v>
      </c>
      <c r="E11" s="42">
        <v>94.729324304306417</v>
      </c>
      <c r="F11" s="42">
        <v>94.498662508060193</v>
      </c>
      <c r="G11" s="42">
        <v>96.36830730816844</v>
      </c>
      <c r="H11" s="42">
        <v>97.423272662826093</v>
      </c>
      <c r="I11" s="42">
        <v>108.72562965415672</v>
      </c>
      <c r="J11" s="42">
        <v>122.09132932388484</v>
      </c>
      <c r="K11" s="42">
        <v>133.00659822465215</v>
      </c>
      <c r="L11" s="42">
        <v>143.68357747397508</v>
      </c>
      <c r="M11" s="42">
        <v>135.20747943023565</v>
      </c>
      <c r="N11" s="42">
        <v>130.22416461477982</v>
      </c>
      <c r="O11" s="42">
        <v>135.51892672031468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  <c r="AA11" s="42">
        <v>0</v>
      </c>
    </row>
    <row r="12" spans="1:27" x14ac:dyDescent="0.2">
      <c r="A12" s="12" t="s">
        <v>23</v>
      </c>
      <c r="B12" s="12" t="s">
        <v>71</v>
      </c>
      <c r="C12" s="42">
        <v>9288.7605887282007</v>
      </c>
      <c r="D12" s="42">
        <v>20248.915002236776</v>
      </c>
      <c r="E12" s="42">
        <v>20250</v>
      </c>
      <c r="F12" s="42">
        <v>16969.1381932843</v>
      </c>
      <c r="G12" s="42">
        <v>15485.438912262587</v>
      </c>
      <c r="H12" s="42">
        <v>25411.760608069744</v>
      </c>
      <c r="I12" s="42">
        <v>23029.011959282914</v>
      </c>
      <c r="J12" s="42">
        <v>17590.926020717423</v>
      </c>
      <c r="K12" s="42">
        <v>9890.0063570553102</v>
      </c>
      <c r="L12" s="42">
        <v>27000.647722331592</v>
      </c>
      <c r="M12" s="42">
        <v>25273.36133467995</v>
      </c>
      <c r="N12" s="42">
        <v>18631.324381529714</v>
      </c>
      <c r="O12" s="42">
        <v>16056.09568432919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  <c r="AA12" s="42">
        <v>0</v>
      </c>
    </row>
    <row r="13" spans="1:27" x14ac:dyDescent="0.2">
      <c r="A13" s="12" t="s">
        <v>23</v>
      </c>
      <c r="B13" s="12" t="s">
        <v>72</v>
      </c>
      <c r="C13" s="42">
        <v>148.4</v>
      </c>
      <c r="D13" s="42">
        <v>152.18445035382226</v>
      </c>
      <c r="E13" s="42">
        <v>158.11961833235648</v>
      </c>
      <c r="F13" s="42">
        <v>163.24637486755012</v>
      </c>
      <c r="G13" s="42">
        <v>168.87378118012086</v>
      </c>
      <c r="H13" s="42">
        <v>173.1667487511005</v>
      </c>
      <c r="I13" s="42">
        <v>177.90490867328015</v>
      </c>
      <c r="J13" s="42">
        <v>182.86610049204506</v>
      </c>
      <c r="K13" s="42">
        <v>188.75785863517748</v>
      </c>
      <c r="L13" s="42">
        <v>194.11723032852402</v>
      </c>
      <c r="M13" s="42">
        <v>199.18243512836386</v>
      </c>
      <c r="N13" s="42">
        <v>206.07991375558515</v>
      </c>
      <c r="O13" s="42">
        <v>213.12097410314317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  <c r="AA13" s="42">
        <v>0</v>
      </c>
    </row>
    <row r="14" spans="1:27" x14ac:dyDescent="0.2">
      <c r="A14" s="12" t="s">
        <v>24</v>
      </c>
      <c r="B14" s="12" t="s">
        <v>77</v>
      </c>
      <c r="C14" s="42">
        <v>2156.6999999999998</v>
      </c>
      <c r="D14" s="42">
        <v>2215.1826184907145</v>
      </c>
      <c r="E14" s="42">
        <v>1241</v>
      </c>
      <c r="F14" s="42">
        <v>2034.12</v>
      </c>
      <c r="G14" s="42">
        <v>2095.7683328878747</v>
      </c>
      <c r="H14" s="42">
        <v>2165.4236800731983</v>
      </c>
      <c r="I14" s="42">
        <v>2235.8768063070688</v>
      </c>
      <c r="J14" s="42">
        <v>2323.7166361814716</v>
      </c>
      <c r="K14" s="42">
        <v>2395.2776677217694</v>
      </c>
      <c r="L14" s="42">
        <v>2463.0501745536149</v>
      </c>
      <c r="M14" s="42">
        <v>2543.5204555795731</v>
      </c>
      <c r="N14" s="42">
        <v>2614.3000000000002</v>
      </c>
      <c r="O14" s="42">
        <v>2686.7172167309582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0</v>
      </c>
      <c r="Z14" s="42">
        <v>0</v>
      </c>
      <c r="AA14" s="42">
        <v>0</v>
      </c>
    </row>
    <row r="15" spans="1:27" x14ac:dyDescent="0.2">
      <c r="A15" s="12" t="s">
        <v>24</v>
      </c>
      <c r="B15" s="12" t="s">
        <v>78</v>
      </c>
      <c r="C15" s="42">
        <v>7594.7999999999993</v>
      </c>
      <c r="D15" s="42">
        <v>2736.5476915560748</v>
      </c>
      <c r="E15" s="42">
        <v>143.87342375799085</v>
      </c>
      <c r="F15" s="42">
        <v>101.2528702518033</v>
      </c>
      <c r="G15" s="42">
        <v>13885.911132672525</v>
      </c>
      <c r="H15" s="42">
        <v>32749.535964911327</v>
      </c>
      <c r="I15" s="42">
        <v>3402.7360888669359</v>
      </c>
      <c r="J15" s="42">
        <v>12534.727116107357</v>
      </c>
      <c r="K15" s="42">
        <v>14584.228616970639</v>
      </c>
      <c r="L15" s="42">
        <v>18822.370851546475</v>
      </c>
      <c r="M15" s="42">
        <v>10284.650457792597</v>
      </c>
      <c r="N15" s="42">
        <v>247.52386311746159</v>
      </c>
      <c r="O15" s="42">
        <v>2927.0650999792788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  <c r="AA15" s="42">
        <v>0</v>
      </c>
    </row>
    <row r="16" spans="1:27" x14ac:dyDescent="0.2">
      <c r="A16" s="12" t="s">
        <v>24</v>
      </c>
      <c r="B16" s="12" t="s">
        <v>80</v>
      </c>
      <c r="C16" s="42">
        <v>3124.4</v>
      </c>
      <c r="D16" s="42">
        <v>3221.0004130168604</v>
      </c>
      <c r="E16" s="42">
        <v>3310.4205827653018</v>
      </c>
      <c r="F16" s="42">
        <v>3430.8061251861768</v>
      </c>
      <c r="G16" s="42">
        <v>3548.9278063678285</v>
      </c>
      <c r="H16" s="42">
        <v>3643.2448151726326</v>
      </c>
      <c r="I16" s="42">
        <v>3749.3362282863081</v>
      </c>
      <c r="J16" s="42">
        <v>3855.3048067227951</v>
      </c>
      <c r="K16" s="42">
        <v>3995.3344463104381</v>
      </c>
      <c r="L16" s="42">
        <v>4120.1874903467024</v>
      </c>
      <c r="M16" s="42">
        <v>4269.1830524684183</v>
      </c>
      <c r="N16" s="42">
        <v>4419.8354697863879</v>
      </c>
      <c r="O16" s="42">
        <v>4596.4835131517184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  <c r="AA16" s="42">
        <v>0</v>
      </c>
    </row>
    <row r="17" spans="1:27" x14ac:dyDescent="0.2">
      <c r="A17" s="12" t="s">
        <v>24</v>
      </c>
      <c r="B17" s="12" t="s">
        <v>79</v>
      </c>
      <c r="C17" s="42">
        <v>913.1</v>
      </c>
      <c r="D17" s="42">
        <v>946.66927693634955</v>
      </c>
      <c r="E17" s="42">
        <v>972.70599347670736</v>
      </c>
      <c r="F17" s="42">
        <v>1008.82100456202</v>
      </c>
      <c r="G17" s="42">
        <v>1039.3927280717717</v>
      </c>
      <c r="H17" s="42">
        <v>1080.795539842843</v>
      </c>
      <c r="I17" s="42">
        <v>1108.150876539687</v>
      </c>
      <c r="J17" s="42">
        <v>1139.2514409883765</v>
      </c>
      <c r="K17" s="42">
        <v>1172.4592689971523</v>
      </c>
      <c r="L17" s="42">
        <v>1218.2914835532049</v>
      </c>
      <c r="M17" s="42">
        <v>1251.6460341594116</v>
      </c>
      <c r="N17" s="42">
        <v>1296.3406670961504</v>
      </c>
      <c r="O17" s="42">
        <v>1342.7341701380446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0</v>
      </c>
      <c r="Z17" s="42">
        <v>0</v>
      </c>
      <c r="AA17" s="42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Cash Flow Statement_Actual</vt:lpstr>
      <vt:lpstr>Balance Sheet_Actual</vt:lpstr>
      <vt:lpstr>Sales_Actual</vt:lpstr>
      <vt:lpstr>COGS_Actual</vt:lpstr>
      <vt:lpstr>Working Capital_Actual</vt:lpstr>
      <vt:lpstr>CapEx_Actual</vt:lpstr>
      <vt:lpstr>Debt Schedule_Actual</vt:lpstr>
      <vt:lpstr>DimDirection</vt:lpstr>
      <vt:lpstr>OPEX_Actual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2026-06-23T09:14:25Z</dcterms:modified>
</cp:coreProperties>
</file>