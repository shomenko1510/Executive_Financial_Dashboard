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5" yWindow="-125" windowWidth="29038" windowHeight="15715" tabRatio="924" activeTab="7"/>
  </bookViews>
  <sheets>
    <sheet name="Cash Flow Statement_Actual" sheetId="1" r:id="rId1"/>
    <sheet name="Sales_Actual" sheetId="2" r:id="rId2"/>
    <sheet name="COGS_Actual" sheetId="26" r:id="rId3"/>
    <sheet name="Working Capital_Actual" sheetId="34" r:id="rId4"/>
    <sheet name="CapEx_Actual" sheetId="3" r:id="rId5"/>
    <sheet name="Debt Schedule_Actual" sheetId="6" r:id="rId6"/>
    <sheet name="DimDirection" sheetId="35" r:id="rId7"/>
    <sheet name="OPEX_Actual" sheetId="36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" i="36" l="1"/>
  <c r="R10" i="36" s="1"/>
  <c r="S10" i="36" s="1"/>
  <c r="T10" i="36" s="1"/>
  <c r="U10" i="36" s="1"/>
  <c r="V10" i="36" s="1"/>
  <c r="W10" i="36" s="1"/>
  <c r="X10" i="36" s="1"/>
  <c r="Y10" i="36" s="1"/>
  <c r="Z10" i="36" s="1"/>
  <c r="AA10" i="36" s="1"/>
  <c r="Q8" i="36"/>
  <c r="R8" i="36" s="1"/>
  <c r="S8" i="36" s="1"/>
  <c r="T8" i="36" s="1"/>
  <c r="U8" i="36" s="1"/>
  <c r="V8" i="36" s="1"/>
  <c r="W8" i="36" s="1"/>
  <c r="X8" i="36" s="1"/>
  <c r="Y8" i="36" s="1"/>
  <c r="Z8" i="36" s="1"/>
  <c r="AA8" i="36" s="1"/>
  <c r="P9" i="36"/>
  <c r="Q9" i="36"/>
  <c r="R9" i="36"/>
  <c r="S9" i="36"/>
  <c r="T9" i="36"/>
  <c r="U9" i="36"/>
  <c r="V9" i="36"/>
  <c r="W9" i="36"/>
  <c r="X9" i="36"/>
  <c r="Y9" i="36"/>
  <c r="Z9" i="36"/>
  <c r="AA9" i="36"/>
  <c r="Q5" i="36"/>
  <c r="R5" i="36" s="1"/>
  <c r="S5" i="36" s="1"/>
  <c r="T5" i="36" s="1"/>
  <c r="U5" i="36" s="1"/>
  <c r="V5" i="36" s="1"/>
  <c r="W5" i="36" s="1"/>
  <c r="X5" i="36" s="1"/>
  <c r="Y5" i="36" s="1"/>
  <c r="Z5" i="36" s="1"/>
  <c r="AA5" i="36" s="1"/>
  <c r="Q6" i="36"/>
  <c r="R6" i="36" s="1"/>
  <c r="S6" i="36" s="1"/>
  <c r="T6" i="36" s="1"/>
  <c r="U6" i="36" s="1"/>
  <c r="V6" i="36" s="1"/>
  <c r="W6" i="36" s="1"/>
  <c r="X6" i="36" s="1"/>
  <c r="Y6" i="36" s="1"/>
  <c r="Z6" i="36" s="1"/>
  <c r="AA6" i="36" s="1"/>
  <c r="Q4" i="36"/>
  <c r="R4" i="36" s="1"/>
  <c r="S4" i="36" s="1"/>
  <c r="T4" i="36" s="1"/>
  <c r="U4" i="36" s="1"/>
  <c r="V4" i="36" s="1"/>
  <c r="W4" i="36" s="1"/>
  <c r="X4" i="36" s="1"/>
  <c r="Y4" i="36" s="1"/>
  <c r="Z4" i="36" s="1"/>
  <c r="AA4" i="36" s="1"/>
  <c r="Q3" i="36"/>
  <c r="R3" i="36" s="1"/>
  <c r="S3" i="36" s="1"/>
  <c r="T3" i="36" s="1"/>
  <c r="U3" i="36" s="1"/>
  <c r="V3" i="36" s="1"/>
  <c r="W3" i="36" s="1"/>
  <c r="X3" i="36" s="1"/>
  <c r="Y3" i="36" s="1"/>
  <c r="Z3" i="36" s="1"/>
  <c r="AA3" i="36" s="1"/>
  <c r="Q2" i="36"/>
  <c r="R2" i="36" s="1"/>
  <c r="S2" i="36" s="1"/>
  <c r="T2" i="36" s="1"/>
  <c r="U2" i="36" s="1"/>
  <c r="V2" i="36" s="1"/>
  <c r="W2" i="36" s="1"/>
  <c r="X2" i="36" s="1"/>
  <c r="Y2" i="36" s="1"/>
  <c r="Z2" i="36" s="1"/>
  <c r="AA2" i="36" s="1"/>
  <c r="C33" i="2" l="1"/>
  <c r="D33" i="2"/>
  <c r="E33" i="2"/>
  <c r="F33" i="2"/>
  <c r="G33" i="2"/>
  <c r="H33" i="2"/>
  <c r="I33" i="2"/>
  <c r="J33" i="2"/>
  <c r="K33" i="2"/>
  <c r="L33" i="2"/>
  <c r="M33" i="2"/>
  <c r="N33" i="2"/>
  <c r="B33" i="2"/>
  <c r="C29" i="2"/>
  <c r="D29" i="2"/>
  <c r="E29" i="2"/>
  <c r="F29" i="2"/>
  <c r="G29" i="2"/>
  <c r="H29" i="2"/>
  <c r="I29" i="2"/>
  <c r="J29" i="2"/>
  <c r="K29" i="2"/>
  <c r="L29" i="2"/>
  <c r="M29" i="2"/>
  <c r="N29" i="2"/>
  <c r="B29" i="2"/>
  <c r="C25" i="2"/>
  <c r="D25" i="2"/>
  <c r="E25" i="2"/>
  <c r="F25" i="2"/>
  <c r="G25" i="2"/>
  <c r="H25" i="2"/>
  <c r="I25" i="2"/>
  <c r="J25" i="2"/>
  <c r="K25" i="2"/>
  <c r="L25" i="2"/>
  <c r="M25" i="2"/>
  <c r="N25" i="2"/>
  <c r="B25" i="2"/>
  <c r="C21" i="2"/>
  <c r="D21" i="2"/>
  <c r="E21" i="2"/>
  <c r="F21" i="2"/>
  <c r="G21" i="2"/>
  <c r="H21" i="2"/>
  <c r="I21" i="2"/>
  <c r="J21" i="2"/>
  <c r="K21" i="2"/>
  <c r="L21" i="2"/>
  <c r="M21" i="2"/>
  <c r="N21" i="2"/>
  <c r="B21" i="2"/>
  <c r="C17" i="2"/>
  <c r="D17" i="2"/>
  <c r="E17" i="2"/>
  <c r="F17" i="2"/>
  <c r="G17" i="2"/>
  <c r="H17" i="2"/>
  <c r="I17" i="2"/>
  <c r="J17" i="2"/>
  <c r="K17" i="2"/>
  <c r="L17" i="2"/>
  <c r="M17" i="2"/>
  <c r="N17" i="2"/>
  <c r="B17" i="2"/>
  <c r="C13" i="2"/>
  <c r="D13" i="2"/>
  <c r="E13" i="2"/>
  <c r="F13" i="2"/>
  <c r="G13" i="2"/>
  <c r="H13" i="2"/>
  <c r="I13" i="2"/>
  <c r="J13" i="2"/>
  <c r="K13" i="2"/>
  <c r="L13" i="2"/>
  <c r="M13" i="2"/>
  <c r="N13" i="2"/>
  <c r="B13" i="2"/>
  <c r="C15" i="26"/>
  <c r="C17" i="26" s="1"/>
  <c r="D15" i="26"/>
  <c r="D17" i="26" s="1"/>
  <c r="E15" i="26"/>
  <c r="E17" i="26" s="1"/>
  <c r="F15" i="26"/>
  <c r="F17" i="26" s="1"/>
  <c r="G15" i="26"/>
  <c r="G17" i="26" s="1"/>
  <c r="H15" i="26"/>
  <c r="H17" i="26" s="1"/>
  <c r="I15" i="26"/>
  <c r="I17" i="26" s="1"/>
  <c r="J15" i="26"/>
  <c r="J17" i="26" s="1"/>
  <c r="K15" i="26"/>
  <c r="K17" i="26" s="1"/>
  <c r="L15" i="26"/>
  <c r="L17" i="26" s="1"/>
  <c r="M15" i="26"/>
  <c r="M17" i="26" s="1"/>
  <c r="N15" i="26"/>
  <c r="N17" i="26" s="1"/>
  <c r="B15" i="26"/>
  <c r="B17" i="26" s="1"/>
  <c r="C31" i="26"/>
  <c r="C33" i="26" s="1"/>
  <c r="D31" i="26"/>
  <c r="D33" i="26" s="1"/>
  <c r="E31" i="26"/>
  <c r="E33" i="26" s="1"/>
  <c r="F31" i="26"/>
  <c r="F33" i="26" s="1"/>
  <c r="G31" i="26"/>
  <c r="G33" i="26" s="1"/>
  <c r="H31" i="26"/>
  <c r="H33" i="26" s="1"/>
  <c r="I31" i="26"/>
  <c r="I33" i="26" s="1"/>
  <c r="J31" i="26"/>
  <c r="J33" i="26" s="1"/>
  <c r="K31" i="26"/>
  <c r="K33" i="26" s="1"/>
  <c r="L31" i="26"/>
  <c r="L33" i="26" s="1"/>
  <c r="M31" i="26"/>
  <c r="M33" i="26" s="1"/>
  <c r="N31" i="26"/>
  <c r="N33" i="26" s="1"/>
  <c r="B31" i="26"/>
  <c r="B33" i="26" s="1"/>
  <c r="C27" i="26"/>
  <c r="C29" i="26" s="1"/>
  <c r="D27" i="26"/>
  <c r="D29" i="26" s="1"/>
  <c r="E27" i="26"/>
  <c r="E29" i="26" s="1"/>
  <c r="F27" i="26"/>
  <c r="F29" i="26" s="1"/>
  <c r="G27" i="26"/>
  <c r="G29" i="26" s="1"/>
  <c r="H27" i="26"/>
  <c r="H29" i="26" s="1"/>
  <c r="I27" i="26"/>
  <c r="I29" i="26" s="1"/>
  <c r="J27" i="26"/>
  <c r="J29" i="26" s="1"/>
  <c r="K27" i="26"/>
  <c r="K29" i="26" s="1"/>
  <c r="L27" i="26"/>
  <c r="L29" i="26" s="1"/>
  <c r="M27" i="26"/>
  <c r="M29" i="26" s="1"/>
  <c r="N27" i="26"/>
  <c r="N29" i="26" s="1"/>
  <c r="C23" i="26"/>
  <c r="C25" i="26" s="1"/>
  <c r="D23" i="26"/>
  <c r="D25" i="26" s="1"/>
  <c r="E23" i="26"/>
  <c r="E25" i="26" s="1"/>
  <c r="F23" i="26"/>
  <c r="F25" i="26" s="1"/>
  <c r="G23" i="26"/>
  <c r="G25" i="26" s="1"/>
  <c r="H23" i="26"/>
  <c r="H25" i="26" s="1"/>
  <c r="I23" i="26"/>
  <c r="I25" i="26" s="1"/>
  <c r="J23" i="26"/>
  <c r="J25" i="26" s="1"/>
  <c r="K23" i="26"/>
  <c r="K25" i="26" s="1"/>
  <c r="L23" i="26"/>
  <c r="L25" i="26" s="1"/>
  <c r="M23" i="26"/>
  <c r="M25" i="26" s="1"/>
  <c r="N23" i="26"/>
  <c r="N25" i="26" s="1"/>
  <c r="B23" i="26"/>
  <c r="B25" i="26" s="1"/>
  <c r="C19" i="26"/>
  <c r="C21" i="26" s="1"/>
  <c r="D19" i="26"/>
  <c r="D21" i="26" s="1"/>
  <c r="E19" i="26"/>
  <c r="E21" i="26" s="1"/>
  <c r="F19" i="26"/>
  <c r="F21" i="26" s="1"/>
  <c r="G19" i="26"/>
  <c r="G21" i="26" s="1"/>
  <c r="H19" i="26"/>
  <c r="H21" i="26" s="1"/>
  <c r="I19" i="26"/>
  <c r="I21" i="26" s="1"/>
  <c r="J19" i="26"/>
  <c r="J21" i="26" s="1"/>
  <c r="K19" i="26"/>
  <c r="K21" i="26" s="1"/>
  <c r="L19" i="26"/>
  <c r="L21" i="26" s="1"/>
  <c r="M19" i="26"/>
  <c r="M21" i="26" s="1"/>
  <c r="N19" i="26"/>
  <c r="N21" i="26" s="1"/>
  <c r="B19" i="26"/>
  <c r="B21" i="26" s="1"/>
  <c r="C11" i="26"/>
  <c r="C13" i="26" s="1"/>
  <c r="D11" i="26"/>
  <c r="D13" i="26" s="1"/>
  <c r="E11" i="26"/>
  <c r="E13" i="26" s="1"/>
  <c r="F11" i="26"/>
  <c r="F13" i="26" s="1"/>
  <c r="G11" i="26"/>
  <c r="G13" i="26" s="1"/>
  <c r="H11" i="26"/>
  <c r="H13" i="26" s="1"/>
  <c r="I11" i="26"/>
  <c r="I13" i="26" s="1"/>
  <c r="J11" i="26"/>
  <c r="J13" i="26" s="1"/>
  <c r="K11" i="26"/>
  <c r="K13" i="26" s="1"/>
  <c r="L11" i="26"/>
  <c r="L13" i="26" s="1"/>
  <c r="M11" i="26"/>
  <c r="M13" i="26" s="1"/>
  <c r="N11" i="26"/>
  <c r="N13" i="26" s="1"/>
  <c r="B11" i="26"/>
  <c r="B13" i="26" s="1"/>
  <c r="C7" i="26"/>
  <c r="C9" i="26" s="1"/>
  <c r="D7" i="26"/>
  <c r="D9" i="26" s="1"/>
  <c r="E7" i="26"/>
  <c r="E9" i="26" s="1"/>
  <c r="F7" i="26"/>
  <c r="F9" i="26" s="1"/>
  <c r="G7" i="26"/>
  <c r="G9" i="26" s="1"/>
  <c r="H7" i="26"/>
  <c r="H9" i="26" s="1"/>
  <c r="I7" i="26"/>
  <c r="I9" i="26" s="1"/>
  <c r="J7" i="26"/>
  <c r="J9" i="26" s="1"/>
  <c r="K7" i="26"/>
  <c r="K9" i="26" s="1"/>
  <c r="L7" i="26"/>
  <c r="L9" i="26" s="1"/>
  <c r="M7" i="26"/>
  <c r="M9" i="26" s="1"/>
  <c r="N7" i="26"/>
  <c r="N9" i="26" s="1"/>
  <c r="B7" i="26"/>
  <c r="B9" i="26" s="1"/>
  <c r="C9" i="2" l="1"/>
  <c r="D9" i="2"/>
  <c r="E9" i="2"/>
  <c r="F9" i="2"/>
  <c r="G9" i="2"/>
  <c r="H9" i="2"/>
  <c r="I9" i="2"/>
  <c r="J9" i="2"/>
  <c r="K9" i="2"/>
  <c r="L9" i="2"/>
  <c r="M9" i="2"/>
  <c r="N9" i="2"/>
  <c r="B9" i="2"/>
  <c r="K2" i="3"/>
  <c r="L2" i="3"/>
  <c r="M2" i="3"/>
  <c r="N2" i="3"/>
  <c r="J2" i="3"/>
  <c r="B5" i="2"/>
  <c r="C5" i="2"/>
  <c r="D5" i="2"/>
  <c r="E5" i="2"/>
  <c r="F5" i="2"/>
  <c r="G5" i="2"/>
  <c r="H5" i="2"/>
  <c r="I5" i="2"/>
  <c r="J5" i="2"/>
  <c r="K5" i="2"/>
  <c r="L5" i="2"/>
  <c r="L36" i="2" s="1"/>
  <c r="M5" i="2"/>
  <c r="N5" i="2"/>
  <c r="B3" i="26"/>
  <c r="B5" i="26" s="1"/>
  <c r="C3" i="26"/>
  <c r="C5" i="26" s="1"/>
  <c r="D3" i="26"/>
  <c r="D5" i="26" s="1"/>
  <c r="E3" i="26"/>
  <c r="E5" i="26" s="1"/>
  <c r="F3" i="26"/>
  <c r="F5" i="26" s="1"/>
  <c r="G3" i="26"/>
  <c r="G5" i="26" s="1"/>
  <c r="H3" i="26"/>
  <c r="H5" i="26" s="1"/>
  <c r="H36" i="26" s="1"/>
  <c r="I3" i="26"/>
  <c r="I5" i="26" s="1"/>
  <c r="I36" i="26" s="1"/>
  <c r="J3" i="26"/>
  <c r="J5" i="26" s="1"/>
  <c r="J36" i="26" s="1"/>
  <c r="K3" i="26"/>
  <c r="K5" i="26" s="1"/>
  <c r="L3" i="26"/>
  <c r="L5" i="26" s="1"/>
  <c r="L36" i="26" s="1"/>
  <c r="M3" i="26"/>
  <c r="M5" i="26" s="1"/>
  <c r="M36" i="26" s="1"/>
  <c r="N3" i="26"/>
  <c r="N5" i="26" s="1"/>
  <c r="N36" i="26" s="1"/>
  <c r="K36" i="26"/>
  <c r="C29" i="1"/>
  <c r="D29" i="1"/>
  <c r="E29" i="1"/>
  <c r="F29" i="1"/>
  <c r="G29" i="1"/>
  <c r="H29" i="1"/>
  <c r="I29" i="1"/>
  <c r="J29" i="1"/>
  <c r="K29" i="1"/>
  <c r="L29" i="1"/>
  <c r="M29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/>
  <c r="B5" i="6"/>
  <c r="B7" i="6" s="1"/>
  <c r="H7" i="3"/>
  <c r="H22" i="1" s="1"/>
  <c r="C7" i="3"/>
  <c r="C22" i="1" s="1"/>
  <c r="D7" i="3"/>
  <c r="D22" i="1" s="1"/>
  <c r="E7" i="3"/>
  <c r="E22" i="1" s="1"/>
  <c r="F7" i="3"/>
  <c r="F22" i="1" s="1"/>
  <c r="G7" i="3"/>
  <c r="G22" i="1" s="1"/>
  <c r="B7" i="3"/>
  <c r="B22" i="1" s="1"/>
  <c r="C18" i="1"/>
  <c r="O29" i="1"/>
  <c r="P29" i="1"/>
  <c r="Q29" i="1"/>
  <c r="R29" i="1"/>
  <c r="S29" i="1"/>
  <c r="T29" i="1"/>
  <c r="U29" i="1"/>
  <c r="V29" i="1"/>
  <c r="W29" i="1"/>
  <c r="X29" i="1"/>
  <c r="Y29" i="1"/>
  <c r="Z29" i="1"/>
  <c r="B29" i="1"/>
  <c r="O28" i="1"/>
  <c r="P28" i="1"/>
  <c r="Q28" i="1"/>
  <c r="R28" i="1"/>
  <c r="S28" i="1"/>
  <c r="T28" i="1"/>
  <c r="U28" i="1"/>
  <c r="V28" i="1"/>
  <c r="W28" i="1"/>
  <c r="X28" i="1"/>
  <c r="Y28" i="1"/>
  <c r="Z28" i="1"/>
  <c r="B28" i="1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D20" i="1"/>
  <c r="E20" i="1"/>
  <c r="F20" i="1"/>
  <c r="G20" i="1"/>
  <c r="H20" i="1"/>
  <c r="I20" i="1"/>
  <c r="J20" i="1"/>
  <c r="K20" i="1"/>
  <c r="L20" i="1"/>
  <c r="M20" i="1"/>
  <c r="N20" i="1"/>
  <c r="C20" i="1"/>
  <c r="D19" i="1"/>
  <c r="E19" i="1"/>
  <c r="F19" i="1"/>
  <c r="G19" i="1"/>
  <c r="H19" i="1"/>
  <c r="I19" i="1"/>
  <c r="J19" i="1"/>
  <c r="K19" i="1"/>
  <c r="L19" i="1"/>
  <c r="M19" i="1"/>
  <c r="N19" i="1"/>
  <c r="C19" i="1"/>
  <c r="C2" i="6" l="1"/>
  <c r="J36" i="2"/>
  <c r="F36" i="2"/>
  <c r="M36" i="2"/>
  <c r="I36" i="2"/>
  <c r="E36" i="2"/>
  <c r="N36" i="2"/>
  <c r="K36" i="2"/>
  <c r="G36" i="2"/>
  <c r="H36" i="2"/>
  <c r="D36" i="2"/>
  <c r="B36" i="2"/>
  <c r="C36" i="2"/>
  <c r="I7" i="3"/>
  <c r="I22" i="1" s="1"/>
  <c r="L18" i="1"/>
  <c r="H18" i="1"/>
  <c r="D18" i="1"/>
  <c r="N18" i="1"/>
  <c r="F18" i="1"/>
  <c r="K18" i="1"/>
  <c r="J18" i="1"/>
  <c r="G18" i="1"/>
  <c r="M18" i="1"/>
  <c r="I18" i="1"/>
  <c r="E18" i="1"/>
  <c r="C5" i="6" l="1"/>
  <c r="D2" i="6" s="1"/>
  <c r="D5" i="6" s="1"/>
  <c r="E2" i="6" s="1"/>
  <c r="E5" i="6" s="1"/>
  <c r="F2" i="6" s="1"/>
  <c r="F5" i="6" s="1"/>
  <c r="G2" i="6" s="1"/>
  <c r="G5" i="6" s="1"/>
  <c r="H2" i="6" s="1"/>
  <c r="H5" i="6" s="1"/>
  <c r="I2" i="6" s="1"/>
  <c r="I5" i="6" s="1"/>
  <c r="J2" i="6" s="1"/>
  <c r="J5" i="6" s="1"/>
  <c r="K2" i="6" s="1"/>
  <c r="K5" i="6" s="1"/>
  <c r="L2" i="6" s="1"/>
  <c r="L5" i="6" s="1"/>
  <c r="M2" i="6" s="1"/>
  <c r="M5" i="6" s="1"/>
  <c r="N2" i="6" s="1"/>
  <c r="N5" i="6" s="1"/>
  <c r="O2" i="6" s="1"/>
  <c r="O5" i="6" s="1"/>
  <c r="P2" i="6" s="1"/>
  <c r="P5" i="6" s="1"/>
  <c r="Q2" i="6" s="1"/>
  <c r="Q5" i="6" s="1"/>
  <c r="R2" i="6" s="1"/>
  <c r="R5" i="6" s="1"/>
  <c r="S2" i="6" s="1"/>
  <c r="S5" i="6" s="1"/>
  <c r="T2" i="6" s="1"/>
  <c r="T5" i="6" s="1"/>
  <c r="U2" i="6" s="1"/>
  <c r="U5" i="6" s="1"/>
  <c r="V2" i="6" s="1"/>
  <c r="V5" i="6" s="1"/>
  <c r="W2" i="6" s="1"/>
  <c r="W5" i="6" s="1"/>
  <c r="X2" i="6" s="1"/>
  <c r="X5" i="6" s="1"/>
  <c r="Y2" i="6" s="1"/>
  <c r="Y5" i="6" s="1"/>
  <c r="Z2" i="6" s="1"/>
  <c r="Z5" i="6" s="1"/>
  <c r="G7" i="6"/>
  <c r="G12" i="1" s="1"/>
  <c r="J7" i="6"/>
  <c r="J12" i="1" s="1"/>
  <c r="S7" i="6"/>
  <c r="Q7" i="6"/>
  <c r="K7" i="6"/>
  <c r="K12" i="1" s="1"/>
  <c r="H7" i="6"/>
  <c r="H12" i="1" s="1"/>
  <c r="D7" i="6"/>
  <c r="D12" i="1" s="1"/>
  <c r="F7" i="6"/>
  <c r="F12" i="1" s="1"/>
  <c r="L7" i="6"/>
  <c r="L12" i="1" s="1"/>
  <c r="I7" i="6"/>
  <c r="I12" i="1" s="1"/>
  <c r="K7" i="3"/>
  <c r="K22" i="1" s="1"/>
  <c r="J7" i="3"/>
  <c r="J22" i="1" s="1"/>
  <c r="Z7" i="6" l="1"/>
  <c r="W7" i="6"/>
  <c r="O7" i="6"/>
  <c r="U7" i="6"/>
  <c r="R7" i="6"/>
  <c r="N7" i="6"/>
  <c r="N12" i="1" s="1"/>
  <c r="E7" i="6"/>
  <c r="E12" i="1" s="1"/>
  <c r="Y7" i="6"/>
  <c r="V7" i="6"/>
  <c r="X7" i="6"/>
  <c r="T7" i="6"/>
  <c r="M7" i="6"/>
  <c r="M12" i="1" s="1"/>
  <c r="P7" i="6"/>
  <c r="C7" i="6"/>
  <c r="C12" i="1" s="1"/>
  <c r="L7" i="3"/>
  <c r="L22" i="1" s="1"/>
  <c r="M7" i="3" l="1"/>
  <c r="M22" i="1" s="1"/>
  <c r="N7" i="3" l="1"/>
  <c r="N22" i="1" s="1"/>
  <c r="H4" i="1" l="1"/>
  <c r="I4" i="1"/>
  <c r="J4" i="1"/>
  <c r="K4" i="1"/>
  <c r="L4" i="1"/>
  <c r="M4" i="1"/>
  <c r="N4" i="1"/>
  <c r="C3" i="1"/>
  <c r="D3" i="1"/>
  <c r="E3" i="1"/>
  <c r="F3" i="1"/>
  <c r="G3" i="1"/>
  <c r="H3" i="1"/>
  <c r="I3" i="1"/>
  <c r="I5" i="1" s="1"/>
  <c r="I15" i="1" s="1"/>
  <c r="J3" i="1"/>
  <c r="K3" i="1"/>
  <c r="K5" i="1" s="1"/>
  <c r="K15" i="1" s="1"/>
  <c r="K16" i="1" s="1"/>
  <c r="K17" i="1" s="1"/>
  <c r="L3" i="1"/>
  <c r="L5" i="1" s="1"/>
  <c r="L15" i="1" s="1"/>
  <c r="M3" i="1"/>
  <c r="N3" i="1"/>
  <c r="N5" i="1" s="1"/>
  <c r="N15" i="1" s="1"/>
  <c r="B3" i="1"/>
  <c r="J5" i="1" l="1"/>
  <c r="J15" i="1" s="1"/>
  <c r="J16" i="1" s="1"/>
  <c r="J17" i="1" s="1"/>
  <c r="H5" i="1"/>
  <c r="H15" i="1" s="1"/>
  <c r="H16" i="1" s="1"/>
  <c r="H17" i="1" s="1"/>
  <c r="N16" i="1"/>
  <c r="N17" i="1" s="1"/>
  <c r="I16" i="1"/>
  <c r="I17" i="1" s="1"/>
  <c r="L16" i="1"/>
  <c r="L17" i="1" s="1"/>
  <c r="L21" i="1" s="1"/>
  <c r="M5" i="1"/>
  <c r="M15" i="1" s="1"/>
  <c r="B27" i="26"/>
  <c r="B29" i="26" s="1"/>
  <c r="B36" i="26" s="1"/>
  <c r="C36" i="26"/>
  <c r="C4" i="1" s="1"/>
  <c r="C5" i="1" s="1"/>
  <c r="C15" i="1" s="1"/>
  <c r="C16" i="1" s="1"/>
  <c r="C17" i="1" s="1"/>
  <c r="D36" i="26"/>
  <c r="D4" i="1" s="1"/>
  <c r="D5" i="1" s="1"/>
  <c r="D15" i="1" s="1"/>
  <c r="D16" i="1" s="1"/>
  <c r="D17" i="1" s="1"/>
  <c r="E36" i="26"/>
  <c r="E4" i="1" s="1"/>
  <c r="E5" i="1" s="1"/>
  <c r="E15" i="1" s="1"/>
  <c r="E16" i="1" s="1"/>
  <c r="E17" i="1" s="1"/>
  <c r="F36" i="26"/>
  <c r="F4" i="1" s="1"/>
  <c r="F5" i="1" s="1"/>
  <c r="F15" i="1" s="1"/>
  <c r="G36" i="26"/>
  <c r="G4" i="1" s="1"/>
  <c r="G5" i="1" s="1"/>
  <c r="G15" i="1" s="1"/>
  <c r="G16" i="1" s="1"/>
  <c r="G17" i="1" s="1"/>
  <c r="D21" i="1" l="1"/>
  <c r="I21" i="1"/>
  <c r="E21" i="1"/>
  <c r="H21" i="1"/>
  <c r="J21" i="1"/>
  <c r="K21" i="1"/>
  <c r="M16" i="1"/>
  <c r="N21" i="1" s="1"/>
  <c r="F16" i="1"/>
  <c r="G21" i="1" s="1"/>
  <c r="F17" i="1" l="1"/>
  <c r="F21" i="1" s="1"/>
  <c r="M17" i="1"/>
  <c r="M21" i="1" s="1"/>
  <c r="X31" i="1"/>
  <c r="T31" i="1"/>
  <c r="P31" i="1"/>
  <c r="Z23" i="1"/>
  <c r="Y23" i="1"/>
  <c r="X23" i="1"/>
  <c r="W23" i="1"/>
  <c r="V23" i="1"/>
  <c r="U23" i="1"/>
  <c r="T23" i="1"/>
  <c r="S23" i="1"/>
  <c r="R23" i="1"/>
  <c r="Q23" i="1"/>
  <c r="P23" i="1"/>
  <c r="Z4" i="1"/>
  <c r="Y4" i="1"/>
  <c r="X4" i="1"/>
  <c r="W4" i="1"/>
  <c r="V4" i="1"/>
  <c r="U4" i="1"/>
  <c r="T4" i="1"/>
  <c r="S4" i="1"/>
  <c r="R4" i="1"/>
  <c r="Q4" i="1"/>
  <c r="P4" i="1"/>
  <c r="Z17" i="2" l="1"/>
  <c r="Y17" i="2"/>
  <c r="X17" i="2"/>
  <c r="W17" i="2"/>
  <c r="V17" i="2"/>
  <c r="U17" i="2"/>
  <c r="T17" i="2"/>
  <c r="S17" i="2"/>
  <c r="R17" i="2"/>
  <c r="R36" i="2" s="1"/>
  <c r="R3" i="1" s="1"/>
  <c r="R5" i="1" s="1"/>
  <c r="R15" i="1" s="1"/>
  <c r="R16" i="1" s="1"/>
  <c r="R17" i="1" s="1"/>
  <c r="Q17" i="2"/>
  <c r="Q36" i="2" s="1"/>
  <c r="Q3" i="1" s="1"/>
  <c r="Q5" i="1" s="1"/>
  <c r="Q15" i="1" s="1"/>
  <c r="Q16" i="1" s="1"/>
  <c r="Q17" i="1" s="1"/>
  <c r="P17" i="2"/>
  <c r="P36" i="2" s="1"/>
  <c r="P3" i="1" s="1"/>
  <c r="P5" i="1" s="1"/>
  <c r="P15" i="1" s="1"/>
  <c r="P16" i="1" l="1"/>
  <c r="P17" i="1" s="1"/>
  <c r="S18" i="1" l="1"/>
  <c r="W18" i="1"/>
  <c r="Y18" i="1" l="1"/>
  <c r="Q18" i="1"/>
  <c r="U18" i="1"/>
  <c r="X18" i="1"/>
  <c r="T18" i="1"/>
  <c r="P18" i="1"/>
  <c r="W19" i="1" l="1"/>
  <c r="O17" i="2"/>
  <c r="Z19" i="1" l="1"/>
  <c r="U19" i="1"/>
  <c r="P19" i="1"/>
  <c r="P21" i="1" s="1"/>
  <c r="S19" i="1"/>
  <c r="Y19" i="1"/>
  <c r="X19" i="1"/>
  <c r="V19" i="1"/>
  <c r="Q19" i="1"/>
  <c r="Q21" i="1" s="1"/>
  <c r="R19" i="1"/>
  <c r="R21" i="1" s="1"/>
  <c r="T19" i="1"/>
  <c r="P32" i="1" l="1"/>
  <c r="P33" i="1" s="1"/>
  <c r="T36" i="2" l="1"/>
  <c r="T3" i="1" s="1"/>
  <c r="T5" i="1" s="1"/>
  <c r="T15" i="1" s="1"/>
  <c r="T16" i="1" s="1"/>
  <c r="T17" i="1" s="1"/>
  <c r="T21" i="1" s="1"/>
  <c r="V36" i="2"/>
  <c r="V3" i="1" s="1"/>
  <c r="V5" i="1" s="1"/>
  <c r="V15" i="1" s="1"/>
  <c r="V16" i="1" s="1"/>
  <c r="V17" i="1" s="1"/>
  <c r="V21" i="1" s="1"/>
  <c r="U36" i="2"/>
  <c r="U3" i="1" s="1"/>
  <c r="U5" i="1" s="1"/>
  <c r="U15" i="1" s="1"/>
  <c r="U16" i="1" s="1"/>
  <c r="U17" i="1" s="1"/>
  <c r="U21" i="1" s="1"/>
  <c r="T32" i="1" l="1"/>
  <c r="T33" i="1" s="1"/>
  <c r="X36" i="2"/>
  <c r="X3" i="1" s="1"/>
  <c r="X5" i="1" s="1"/>
  <c r="X15" i="1" s="1"/>
  <c r="X16" i="1" s="1"/>
  <c r="X17" i="1" s="1"/>
  <c r="X21" i="1" s="1"/>
  <c r="Y36" i="2"/>
  <c r="Y3" i="1" s="1"/>
  <c r="Y5" i="1" s="1"/>
  <c r="Y15" i="1" s="1"/>
  <c r="Y16" i="1" s="1"/>
  <c r="Y17" i="1" s="1"/>
  <c r="Y21" i="1" s="1"/>
  <c r="Z36" i="2"/>
  <c r="Z3" i="1" s="1"/>
  <c r="Z5" i="1" s="1"/>
  <c r="Z15" i="1" s="1"/>
  <c r="Z16" i="1" s="1"/>
  <c r="Z17" i="1" s="1"/>
  <c r="Z21" i="1" s="1"/>
  <c r="X32" i="1" l="1"/>
  <c r="X33" i="1" s="1"/>
  <c r="O4" i="1" l="1"/>
  <c r="O36" i="2" l="1"/>
  <c r="O3" i="1" l="1"/>
  <c r="O5" i="1" s="1"/>
  <c r="S36" i="2"/>
  <c r="S3" i="1" s="1"/>
  <c r="S5" i="1" s="1"/>
  <c r="S15" i="1" s="1"/>
  <c r="S16" i="1" s="1"/>
  <c r="S17" i="1" s="1"/>
  <c r="S21" i="1" s="1"/>
  <c r="W36" i="2" l="1"/>
  <c r="W3" i="1" s="1"/>
  <c r="W5" i="1" s="1"/>
  <c r="W15" i="1" s="1"/>
  <c r="W16" i="1" s="1"/>
  <c r="W17" i="1" s="1"/>
  <c r="W21" i="1" s="1"/>
  <c r="H23" i="1" l="1"/>
  <c r="I23" i="1" l="1"/>
  <c r="J23" i="1" l="1"/>
  <c r="K31" i="1" l="1"/>
  <c r="H31" i="1"/>
  <c r="J31" i="1"/>
  <c r="I31" i="1"/>
  <c r="K23" i="1"/>
  <c r="L23" i="1" l="1"/>
  <c r="L31" i="1" l="1"/>
  <c r="M23" i="1"/>
  <c r="M31" i="1" l="1"/>
  <c r="N23" i="1"/>
  <c r="N31" i="1" l="1"/>
  <c r="O31" i="1" l="1"/>
  <c r="O23" i="1"/>
  <c r="Q31" i="1" l="1"/>
  <c r="Q32" i="1" s="1"/>
  <c r="Q33" i="1" s="1"/>
  <c r="R31" i="1"/>
  <c r="R32" i="1" s="1"/>
  <c r="R33" i="1" s="1"/>
  <c r="S31" i="1" l="1"/>
  <c r="S32" i="1" s="1"/>
  <c r="S33" i="1" s="1"/>
  <c r="U31" i="1" l="1"/>
  <c r="U32" i="1" s="1"/>
  <c r="U33" i="1" s="1"/>
  <c r="V31" i="1" l="1"/>
  <c r="V32" i="1" s="1"/>
  <c r="V33" i="1" s="1"/>
  <c r="W31" i="1" l="1"/>
  <c r="W32" i="1" s="1"/>
  <c r="W33" i="1" s="1"/>
  <c r="Y31" i="1" l="1"/>
  <c r="Y32" i="1" s="1"/>
  <c r="Y33" i="1" s="1"/>
  <c r="Z31" i="1"/>
  <c r="Z32" i="1" s="1"/>
  <c r="Z33" i="1" s="1"/>
  <c r="O15" i="1" l="1"/>
  <c r="O16" i="1" l="1"/>
  <c r="O17" i="1" l="1"/>
  <c r="O32" i="1" l="1"/>
  <c r="K32" i="1" l="1"/>
  <c r="N32" i="1" l="1"/>
  <c r="L32" i="1"/>
  <c r="M32" i="1"/>
  <c r="F31" i="1" l="1"/>
  <c r="G31" i="1"/>
  <c r="G23" i="1" l="1"/>
  <c r="D31" i="1" l="1"/>
  <c r="E31" i="1"/>
  <c r="C31" i="1"/>
  <c r="E23" i="1" l="1"/>
  <c r="D23" i="1"/>
  <c r="F23" i="1"/>
  <c r="C23" i="1" l="1"/>
  <c r="B4" i="1" l="1"/>
  <c r="B23" i="1" l="1"/>
  <c r="D32" i="1" l="1"/>
  <c r="E32" i="1"/>
  <c r="J32" i="1"/>
  <c r="F32" i="1"/>
  <c r="I32" i="1" l="1"/>
  <c r="B31" i="1" l="1"/>
  <c r="B5" i="1" l="1"/>
  <c r="B15" i="1" s="1"/>
  <c r="B16" i="1" l="1"/>
  <c r="C21" i="1" l="1"/>
  <c r="C32" i="1" s="1"/>
  <c r="B17" i="1"/>
  <c r="B21" i="1" l="1"/>
  <c r="B32" i="1" s="1"/>
  <c r="B33" i="1" s="1"/>
  <c r="C2" i="1" s="1"/>
  <c r="C33" i="1" s="1"/>
  <c r="D2" i="1" s="1"/>
  <c r="D33" i="1" s="1"/>
  <c r="E2" i="1" s="1"/>
  <c r="E33" i="1" s="1"/>
  <c r="F2" i="1" s="1"/>
  <c r="H32" i="1"/>
  <c r="F33" i="1" l="1"/>
  <c r="G2" i="1" s="1"/>
  <c r="G32" i="1"/>
  <c r="G33" i="1" l="1"/>
  <c r="H2" i="1" s="1"/>
  <c r="H33" i="1" s="1"/>
  <c r="I2" i="1" s="1"/>
  <c r="I33" i="1" l="1"/>
  <c r="J2" i="1" s="1"/>
  <c r="J33" i="1" l="1"/>
  <c r="K2" i="1" s="1"/>
  <c r="K33" i="1" l="1"/>
  <c r="L2" i="1" l="1"/>
  <c r="L33" i="1" s="1"/>
  <c r="M2" i="1" s="1"/>
  <c r="M33" i="1" s="1"/>
  <c r="N2" i="1" s="1"/>
  <c r="N33" i="1" l="1"/>
  <c r="O33" i="1" s="1"/>
</calcChain>
</file>

<file path=xl/sharedStrings.xml><?xml version="1.0" encoding="utf-8"?>
<sst xmlns="http://schemas.openxmlformats.org/spreadsheetml/2006/main" count="169" uniqueCount="82">
  <si>
    <t>Indicator</t>
  </si>
  <si>
    <t>Business Line A</t>
  </si>
  <si>
    <t>Other</t>
  </si>
  <si>
    <t>Business Line B</t>
  </si>
  <si>
    <t>Business Line C</t>
  </si>
  <si>
    <t>Business Line D</t>
  </si>
  <si>
    <t>Business Line E</t>
  </si>
  <si>
    <t>Business Line F</t>
  </si>
  <si>
    <t>Business Line G</t>
  </si>
  <si>
    <t>Business Line H</t>
  </si>
  <si>
    <t>Total</t>
  </si>
  <si>
    <t>Volume, ths.m2</t>
  </si>
  <si>
    <t>Price, UAH</t>
  </si>
  <si>
    <t>Revenue (excl. VAT), ths. UAH</t>
  </si>
  <si>
    <t>Volume, t</t>
  </si>
  <si>
    <t>Unit Cost, UAH</t>
  </si>
  <si>
    <t>COGS, ths. UAN</t>
  </si>
  <si>
    <t>Opening Cash Balance</t>
  </si>
  <si>
    <t>Revenue (excl. VAT)</t>
  </si>
  <si>
    <t>COGS (excl.VAT)</t>
  </si>
  <si>
    <t>Gross Profit</t>
  </si>
  <si>
    <t>Other Operating Income</t>
  </si>
  <si>
    <t>Administrative Expenses</t>
  </si>
  <si>
    <t>Selling Expenses</t>
  </si>
  <si>
    <t>Other Operating Expenses</t>
  </si>
  <si>
    <t>Depreciation</t>
  </si>
  <si>
    <t>Other Expenses</t>
  </si>
  <si>
    <t>Other Income</t>
  </si>
  <si>
    <t>Profit Before Tax</t>
  </si>
  <si>
    <t>Net Profit</t>
  </si>
  <si>
    <t>Change in Inventory</t>
  </si>
  <si>
    <t>Change in Trade Receivables</t>
  </si>
  <si>
    <t>Change in Trade Payables</t>
  </si>
  <si>
    <t>Operating Cash Flow</t>
  </si>
  <si>
    <t>Capital Expenditures</t>
  </si>
  <si>
    <t>Cash Flow from Investing Activities</t>
  </si>
  <si>
    <t>Other Financial Income</t>
  </si>
  <si>
    <t>Financial Expenses</t>
  </si>
  <si>
    <t>Charge in Share Capital</t>
  </si>
  <si>
    <t>Target Financing</t>
  </si>
  <si>
    <t>Loans from Shareholders</t>
  </si>
  <si>
    <t>Prepayment of Sharholders Loans</t>
  </si>
  <si>
    <t>Proceeds from Borrowings</t>
  </si>
  <si>
    <t>Repayment of Borrowings</t>
  </si>
  <si>
    <t>Cash Flow from Financng Activities</t>
  </si>
  <si>
    <t>Net Cash Flow</t>
  </si>
  <si>
    <t>Closing Cash Balance</t>
  </si>
  <si>
    <t>Line Item</t>
  </si>
  <si>
    <t>Income Tax</t>
  </si>
  <si>
    <t>Total Inventory</t>
  </si>
  <si>
    <t>Total Trade Receivables</t>
  </si>
  <si>
    <t>Total Payables</t>
  </si>
  <si>
    <t>Entity A NCA (Opening)</t>
  </si>
  <si>
    <t>Entity A NCA (Closing)</t>
  </si>
  <si>
    <t>Entity B NCA (Opening)</t>
  </si>
  <si>
    <t>Entity B NCA (Closing)</t>
  </si>
  <si>
    <t>CapEx</t>
  </si>
  <si>
    <t>Depretiation</t>
  </si>
  <si>
    <t>Loan Repayment</t>
  </si>
  <si>
    <t>Interest Rate</t>
  </si>
  <si>
    <t>Interest Expense</t>
  </si>
  <si>
    <t>Opening Loan Balance</t>
  </si>
  <si>
    <t>Loan Drawdown</t>
  </si>
  <si>
    <t>Closing Loan Balance</t>
  </si>
  <si>
    <t>DirectionKey</t>
  </si>
  <si>
    <t>Direction</t>
  </si>
  <si>
    <t>OPEX Category</t>
  </si>
  <si>
    <t>OPEX Subcategory</t>
  </si>
  <si>
    <t>Salaries</t>
  </si>
  <si>
    <t>Bonuses</t>
  </si>
  <si>
    <t>Advertising</t>
  </si>
  <si>
    <t>Marketing</t>
  </si>
  <si>
    <t>Transportation</t>
  </si>
  <si>
    <t>Business Trip</t>
  </si>
  <si>
    <t>Utilities</t>
  </si>
  <si>
    <t>Internet &amp; Comunication</t>
  </si>
  <si>
    <t>IT Servise</t>
  </si>
  <si>
    <t>Insurance</t>
  </si>
  <si>
    <t>Environmental Cost</t>
  </si>
  <si>
    <t>Write-offs</t>
  </si>
  <si>
    <t>Health &amp; Safety</t>
  </si>
  <si>
    <t>Taxes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</si>
</sst>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19]mmmm\ yyyy;@"/>
    <numFmt numFmtId="165" formatCode="#,##0.0"/>
    <numFmt numFmtId="166" formatCode="0.0%"/>
    <numFmt numFmtId="167" formatCode="_-* #,##0.00_р_._-;\-* #,##0.00_р_._-;_-* &quot;-&quot;??_р_._-;_-@_-"/>
    <numFmt numFmtId="168" formatCode="_(* #,##0_);\(* #,##0\)"/>
    <numFmt numFmtId="169" formatCode="d/m/yyyy;@"/>
  </numFmts>
  <fonts count="3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name val="Arial Cy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Helv"/>
    </font>
    <font>
      <sz val="11"/>
      <color indexed="8"/>
      <name val="Calibri"/>
      <family val="2"/>
    </font>
    <font>
      <sz val="10"/>
      <color indexed="8"/>
      <name val="Helv"/>
    </font>
    <font>
      <b/>
      <sz val="10"/>
      <color indexed="8"/>
      <name val="Helv"/>
    </font>
    <font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name val="Arial Cyr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0" fontId="13" fillId="0" borderId="0"/>
    <xf numFmtId="0" fontId="15" fillId="0" borderId="0" applyNumberFormat="0" applyFont="0" applyFill="0" applyBorder="0" applyAlignment="0" applyProtection="0"/>
    <xf numFmtId="0" fontId="16" fillId="0" borderId="0"/>
    <xf numFmtId="0" fontId="16" fillId="0" borderId="0"/>
    <xf numFmtId="40" fontId="14" fillId="0" borderId="0" applyFont="0" applyFill="0" applyBorder="0" applyAlignment="0" applyProtection="0"/>
    <xf numFmtId="0" fontId="7" fillId="0" borderId="0"/>
    <xf numFmtId="0" fontId="9" fillId="0" borderId="0"/>
    <xf numFmtId="168" fontId="18" fillId="0" borderId="5"/>
    <xf numFmtId="0" fontId="19" fillId="0" borderId="0"/>
    <xf numFmtId="0" fontId="18" fillId="0" borderId="0"/>
    <xf numFmtId="0" fontId="20" fillId="4" borderId="0">
      <alignment horizontal="center" vertical="center"/>
    </xf>
    <xf numFmtId="0" fontId="21" fillId="4" borderId="0">
      <alignment horizontal="center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center"/>
    </xf>
    <xf numFmtId="0" fontId="23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4" fillId="4" borderId="0">
      <alignment horizontal="left" vertical="top"/>
    </xf>
    <xf numFmtId="0" fontId="20" fillId="4" borderId="0">
      <alignment horizontal="right" vertical="top"/>
    </xf>
    <xf numFmtId="0" fontId="20" fillId="4" borderId="0">
      <alignment horizontal="left" vertical="top"/>
    </xf>
    <xf numFmtId="0" fontId="23" fillId="4" borderId="0">
      <alignment horizontal="right" vertical="top"/>
    </xf>
    <xf numFmtId="0" fontId="20" fillId="4" borderId="0">
      <alignment horizontal="right" vertical="top"/>
    </xf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7" fillId="0" borderId="0"/>
    <xf numFmtId="0" fontId="12" fillId="0" borderId="0"/>
    <xf numFmtId="9" fontId="1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167" fontId="13" fillId="0" borderId="0" applyFont="0" applyFill="0" applyBorder="0" applyAlignment="0" applyProtection="0"/>
    <xf numFmtId="167" fontId="7" fillId="0" borderId="0" applyFont="0" applyFill="0" applyBorder="0" applyAlignment="0" applyProtection="0"/>
  </cellStyleXfs>
  <cellXfs count="9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Fill="1"/>
    <xf numFmtId="0" fontId="3" fillId="0" borderId="0" xfId="1" applyFont="1" applyFill="1"/>
    <xf numFmtId="0" fontId="4" fillId="0" borderId="0" xfId="1" applyFont="1" applyFill="1"/>
    <xf numFmtId="0" fontId="5" fillId="0" borderId="0" xfId="1" applyFont="1" applyFill="1"/>
    <xf numFmtId="0" fontId="4" fillId="0" borderId="0" xfId="1" applyFont="1" applyFill="1" applyBorder="1"/>
    <xf numFmtId="0" fontId="3" fillId="0" borderId="0" xfId="1" applyFont="1" applyFill="1" applyAlignment="1">
      <alignment vertical="center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9" fillId="0" borderId="0" xfId="0" applyFont="1"/>
    <xf numFmtId="0" fontId="0" fillId="0" borderId="0" xfId="0" applyFill="1"/>
    <xf numFmtId="0" fontId="2" fillId="0" borderId="1" xfId="0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1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3" fillId="0" borderId="0" xfId="1" applyNumberFormat="1" applyFont="1" applyFill="1" applyAlignment="1">
      <alignment horizontal="center" vertical="center"/>
    </xf>
    <xf numFmtId="165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0" fillId="0" borderId="0" xfId="0" applyBorder="1"/>
    <xf numFmtId="0" fontId="8" fillId="5" borderId="1" xfId="0" applyFont="1" applyFill="1" applyBorder="1" applyAlignment="1">
      <alignment horizontal="left"/>
    </xf>
    <xf numFmtId="165" fontId="32" fillId="0" borderId="1" xfId="1" applyNumberFormat="1" applyFont="1" applyFill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0" fontId="2" fillId="0" borderId="6" xfId="7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29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wrapText="1"/>
    </xf>
    <xf numFmtId="4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3" fontId="30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left" wrapText="1"/>
    </xf>
    <xf numFmtId="2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32" fillId="0" borderId="1" xfId="1" applyNumberFormat="1" applyFont="1" applyFill="1" applyBorder="1" applyAlignment="1">
      <alignment horizontal="center"/>
    </xf>
    <xf numFmtId="4" fontId="32" fillId="0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/>
    <xf numFmtId="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/>
    <xf numFmtId="0" fontId="27" fillId="5" borderId="1" xfId="0" applyFont="1" applyFill="1" applyBorder="1"/>
    <xf numFmtId="169" fontId="2" fillId="2" borderId="1" xfId="1" applyNumberFormat="1" applyFont="1" applyFill="1" applyBorder="1" applyAlignment="1">
      <alignment horizontal="center" vertical="center" wrapText="1"/>
    </xf>
    <xf numFmtId="169" fontId="2" fillId="5" borderId="1" xfId="1" applyNumberFormat="1" applyFont="1" applyFill="1" applyBorder="1" applyAlignment="1">
      <alignment horizontal="center" vertical="center" wrapText="1"/>
    </xf>
    <xf numFmtId="4" fontId="9" fillId="0" borderId="1" xfId="1" applyNumberFormat="1" applyFont="1" applyFill="1" applyBorder="1" applyAlignment="1">
      <alignment horizontal="center"/>
    </xf>
    <xf numFmtId="4" fontId="32" fillId="3" borderId="1" xfId="1" applyNumberFormat="1" applyFont="1" applyFill="1" applyBorder="1" applyAlignment="1">
      <alignment horizontal="center" vertical="center" wrapText="1"/>
    </xf>
    <xf numFmtId="4" fontId="32" fillId="0" borderId="1" xfId="1" applyNumberFormat="1" applyFont="1" applyFill="1" applyBorder="1" applyAlignment="1">
      <alignment horizontal="center" vertical="center" wrapText="1"/>
    </xf>
    <xf numFmtId="4" fontId="31" fillId="3" borderId="1" xfId="1" applyNumberFormat="1" applyFont="1" applyFill="1" applyBorder="1" applyAlignment="1">
      <alignment horizontal="center" vertical="center"/>
    </xf>
    <xf numFmtId="4" fontId="31" fillId="3" borderId="1" xfId="1" applyNumberFormat="1" applyFont="1" applyFill="1" applyBorder="1" applyAlignment="1">
      <alignment horizontal="center" vertical="center" wrapText="1"/>
    </xf>
    <xf numFmtId="4" fontId="32" fillId="5" borderId="1" xfId="1" applyNumberFormat="1" applyFont="1" applyFill="1" applyBorder="1" applyAlignment="1">
      <alignment horizontal="center" vertical="center"/>
    </xf>
    <xf numFmtId="4" fontId="27" fillId="5" borderId="1" xfId="0" applyNumberFormat="1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165" fontId="29" fillId="5" borderId="1" xfId="0" applyNumberFormat="1" applyFont="1" applyFill="1" applyBorder="1" applyAlignment="1">
      <alignment horizontal="center" vertical="center"/>
    </xf>
    <xf numFmtId="165" fontId="27" fillId="5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4" fontId="11" fillId="5" borderId="1" xfId="0" applyNumberFormat="1" applyFont="1" applyFill="1" applyBorder="1"/>
    <xf numFmtId="165" fontId="11" fillId="0" borderId="1" xfId="0" applyNumberFormat="1" applyFont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4" fontId="28" fillId="5" borderId="1" xfId="0" applyNumberFormat="1" applyFont="1" applyFill="1" applyBorder="1" applyAlignment="1">
      <alignment horizontal="center" vertical="center"/>
    </xf>
    <xf numFmtId="4" fontId="33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5" fontId="32" fillId="0" borderId="1" xfId="1" applyNumberFormat="1" applyFont="1" applyFill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left" vertical="center" wrapText="1"/>
    </xf>
    <xf numFmtId="4" fontId="9" fillId="0" borderId="3" xfId="7" applyNumberFormat="1" applyFont="1" applyBorder="1" applyAlignment="1">
      <alignment horizontal="center" vertical="center"/>
    </xf>
    <xf numFmtId="165" fontId="31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9" fillId="0" borderId="1" xfId="1" applyNumberFormat="1" applyFont="1" applyFill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 wrapText="1"/>
    </xf>
    <xf numFmtId="165" fontId="32" fillId="0" borderId="1" xfId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16" fillId="0" borderId="0" xfId="41"/>
    <xf numFmtId="0" fontId="0" fillId="0" borderId="1" xfId="0" applyFill="1" applyBorder="1"/>
    <xf numFmtId="1" fontId="0" fillId="0" borderId="1" xfId="0" applyNumberFormat="1" applyFill="1" applyBorder="1"/>
  </cellXfs>
  <cellStyles count="44">
    <cellStyle name="_macro (2)" xfId="3"/>
    <cellStyle name="_Фин  план ВТ без доходов от Triple Play с тов  кредит" xfId="4"/>
    <cellStyle name="_Фин  план на USD 15 mio без доходов и торг кредитов" xfId="5"/>
    <cellStyle name="Dezimal_normaus" xfId="6"/>
    <cellStyle name="Normal" xfId="0" builtinId="0"/>
    <cellStyle name="Normal_CF Velton Mngmnt Case VOLS TUSD 2000_2" xfId="7"/>
    <cellStyle name="Normal_CF Velton UCB Case VOLS USD 15 mio 2008 04 17 years 7 final" xfId="1"/>
    <cellStyle name="Normalny_Arkusz1" xfId="8"/>
    <cellStyle name="Number Normal" xfId="9"/>
    <cellStyle name="Reporting Bold" xfId="10"/>
    <cellStyle name="Reporting Normal" xfId="11"/>
    <cellStyle name="S0" xfId="12"/>
    <cellStyle name="S1" xfId="13"/>
    <cellStyle name="S10" xfId="14"/>
    <cellStyle name="S11" xfId="15"/>
    <cellStyle name="S12" xfId="16"/>
    <cellStyle name="S13" xfId="17"/>
    <cellStyle name="S14" xfId="18"/>
    <cellStyle name="S15" xfId="19"/>
    <cellStyle name="S16" xfId="20"/>
    <cellStyle name="S17" xfId="21"/>
    <cellStyle name="S18" xfId="22"/>
    <cellStyle name="S19" xfId="23"/>
    <cellStyle name="S2" xfId="24"/>
    <cellStyle name="S20" xfId="25"/>
    <cellStyle name="S3" xfId="26"/>
    <cellStyle name="S4" xfId="27"/>
    <cellStyle name="S5" xfId="28"/>
    <cellStyle name="S6" xfId="29"/>
    <cellStyle name="S7" xfId="30"/>
    <cellStyle name="S8" xfId="31"/>
    <cellStyle name="S9" xfId="32"/>
    <cellStyle name="Standard_Language" xfId="33"/>
    <cellStyle name="Гиперссылка 2" xfId="34"/>
    <cellStyle name="Обычный 2" xfId="35"/>
    <cellStyle name="Обычный 2 2" xfId="36"/>
    <cellStyle name="Обычный 3" xfId="37"/>
    <cellStyle name="Обычный 4" xfId="38"/>
    <cellStyle name="Обычный 5" xfId="2"/>
    <cellStyle name="Процентный 2" xfId="39"/>
    <cellStyle name="Результат 1" xfId="40"/>
    <cellStyle name="Стиль 1" xfId="41"/>
    <cellStyle name="Финансовый 2" xfId="43"/>
    <cellStyle name="Финансовый 3" xfId="4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3"/>
  <sheetViews>
    <sheetView zoomScale="85" zoomScaleNormal="85" workbookViewId="0">
      <selection activeCell="B8" sqref="B8:N8"/>
    </sheetView>
  </sheetViews>
  <sheetFormatPr defaultColWidth="11.44140625" defaultRowHeight="11.3" x14ac:dyDescent="0.2"/>
  <cols>
    <col min="1" max="1" width="38.109375" style="7" customWidth="1"/>
    <col min="2" max="2" width="14" style="22" customWidth="1"/>
    <col min="3" max="10" width="11.44140625" style="3" customWidth="1"/>
    <col min="11" max="11" width="11.44140625" style="16" customWidth="1"/>
    <col min="12" max="14" width="11.44140625" style="16"/>
    <col min="15" max="26" width="11.44140625" style="16" customWidth="1"/>
    <col min="27" max="219" width="11.44140625" style="3"/>
    <col min="220" max="220" width="36" style="3" bestFit="1" customWidth="1"/>
    <col min="221" max="221" width="11.88671875" style="3" bestFit="1" customWidth="1"/>
    <col min="222" max="222" width="9.88671875" style="3" bestFit="1" customWidth="1"/>
    <col min="223" max="223" width="10" style="3" bestFit="1" customWidth="1"/>
    <col min="224" max="224" width="10.109375" style="3" bestFit="1" customWidth="1"/>
    <col min="225" max="225" width="10.88671875" style="3" bestFit="1" customWidth="1"/>
    <col min="226" max="226" width="9.109375" style="3" bestFit="1" customWidth="1"/>
    <col min="227" max="227" width="8.88671875" style="3" bestFit="1" customWidth="1"/>
    <col min="228" max="230" width="9.109375" style="3" bestFit="1" customWidth="1"/>
    <col min="231" max="231" width="8.88671875" style="3" bestFit="1" customWidth="1"/>
    <col min="232" max="232" width="9.88671875" style="3" customWidth="1"/>
    <col min="233" max="233" width="9.109375" style="3" bestFit="1" customWidth="1"/>
    <col min="234" max="234" width="9.88671875" style="3" customWidth="1"/>
    <col min="235" max="236" width="10" style="3" customWidth="1"/>
    <col min="237" max="237" width="9.109375" style="3" bestFit="1" customWidth="1"/>
    <col min="238" max="475" width="11.44140625" style="3"/>
    <col min="476" max="476" width="36" style="3" bestFit="1" customWidth="1"/>
    <col min="477" max="477" width="11.88671875" style="3" bestFit="1" customWidth="1"/>
    <col min="478" max="478" width="9.88671875" style="3" bestFit="1" customWidth="1"/>
    <col min="479" max="479" width="10" style="3" bestFit="1" customWidth="1"/>
    <col min="480" max="480" width="10.109375" style="3" bestFit="1" customWidth="1"/>
    <col min="481" max="481" width="10.88671875" style="3" bestFit="1" customWidth="1"/>
    <col min="482" max="482" width="9.109375" style="3" bestFit="1" customWidth="1"/>
    <col min="483" max="483" width="8.88671875" style="3" bestFit="1" customWidth="1"/>
    <col min="484" max="486" width="9.109375" style="3" bestFit="1" customWidth="1"/>
    <col min="487" max="487" width="8.88671875" style="3" bestFit="1" customWidth="1"/>
    <col min="488" max="488" width="9.88671875" style="3" customWidth="1"/>
    <col min="489" max="489" width="9.109375" style="3" bestFit="1" customWidth="1"/>
    <col min="490" max="490" width="9.88671875" style="3" customWidth="1"/>
    <col min="491" max="492" width="10" style="3" customWidth="1"/>
    <col min="493" max="493" width="9.109375" style="3" bestFit="1" customWidth="1"/>
    <col min="494" max="731" width="11.44140625" style="3"/>
    <col min="732" max="732" width="36" style="3" bestFit="1" customWidth="1"/>
    <col min="733" max="733" width="11.88671875" style="3" bestFit="1" customWidth="1"/>
    <col min="734" max="734" width="9.88671875" style="3" bestFit="1" customWidth="1"/>
    <col min="735" max="735" width="10" style="3" bestFit="1" customWidth="1"/>
    <col min="736" max="736" width="10.109375" style="3" bestFit="1" customWidth="1"/>
    <col min="737" max="737" width="10.88671875" style="3" bestFit="1" customWidth="1"/>
    <col min="738" max="738" width="9.109375" style="3" bestFit="1" customWidth="1"/>
    <col min="739" max="739" width="8.88671875" style="3" bestFit="1" customWidth="1"/>
    <col min="740" max="742" width="9.109375" style="3" bestFit="1" customWidth="1"/>
    <col min="743" max="743" width="8.88671875" style="3" bestFit="1" customWidth="1"/>
    <col min="744" max="744" width="9.88671875" style="3" customWidth="1"/>
    <col min="745" max="745" width="9.109375" style="3" bestFit="1" customWidth="1"/>
    <col min="746" max="746" width="9.88671875" style="3" customWidth="1"/>
    <col min="747" max="748" width="10" style="3" customWidth="1"/>
    <col min="749" max="749" width="9.109375" style="3" bestFit="1" customWidth="1"/>
    <col min="750" max="987" width="11.44140625" style="3"/>
    <col min="988" max="988" width="36" style="3" bestFit="1" customWidth="1"/>
    <col min="989" max="989" width="11.88671875" style="3" bestFit="1" customWidth="1"/>
    <col min="990" max="990" width="9.88671875" style="3" bestFit="1" customWidth="1"/>
    <col min="991" max="991" width="10" style="3" bestFit="1" customWidth="1"/>
    <col min="992" max="992" width="10.109375" style="3" bestFit="1" customWidth="1"/>
    <col min="993" max="993" width="10.88671875" style="3" bestFit="1" customWidth="1"/>
    <col min="994" max="994" width="9.109375" style="3" bestFit="1" customWidth="1"/>
    <col min="995" max="995" width="8.88671875" style="3" bestFit="1" customWidth="1"/>
    <col min="996" max="998" width="9.109375" style="3" bestFit="1" customWidth="1"/>
    <col min="999" max="999" width="8.88671875" style="3" bestFit="1" customWidth="1"/>
    <col min="1000" max="1000" width="9.88671875" style="3" customWidth="1"/>
    <col min="1001" max="1001" width="9.109375" style="3" bestFit="1" customWidth="1"/>
    <col min="1002" max="1002" width="9.88671875" style="3" customWidth="1"/>
    <col min="1003" max="1004" width="10" style="3" customWidth="1"/>
    <col min="1005" max="1005" width="9.109375" style="3" bestFit="1" customWidth="1"/>
    <col min="1006" max="1243" width="11.44140625" style="3"/>
    <col min="1244" max="1244" width="36" style="3" bestFit="1" customWidth="1"/>
    <col min="1245" max="1245" width="11.88671875" style="3" bestFit="1" customWidth="1"/>
    <col min="1246" max="1246" width="9.88671875" style="3" bestFit="1" customWidth="1"/>
    <col min="1247" max="1247" width="10" style="3" bestFit="1" customWidth="1"/>
    <col min="1248" max="1248" width="10.109375" style="3" bestFit="1" customWidth="1"/>
    <col min="1249" max="1249" width="10.88671875" style="3" bestFit="1" customWidth="1"/>
    <col min="1250" max="1250" width="9.109375" style="3" bestFit="1" customWidth="1"/>
    <col min="1251" max="1251" width="8.88671875" style="3" bestFit="1" customWidth="1"/>
    <col min="1252" max="1254" width="9.109375" style="3" bestFit="1" customWidth="1"/>
    <col min="1255" max="1255" width="8.88671875" style="3" bestFit="1" customWidth="1"/>
    <col min="1256" max="1256" width="9.88671875" style="3" customWidth="1"/>
    <col min="1257" max="1257" width="9.109375" style="3" bestFit="1" customWidth="1"/>
    <col min="1258" max="1258" width="9.88671875" style="3" customWidth="1"/>
    <col min="1259" max="1260" width="10" style="3" customWidth="1"/>
    <col min="1261" max="1261" width="9.109375" style="3" bestFit="1" customWidth="1"/>
    <col min="1262" max="1499" width="11.44140625" style="3"/>
    <col min="1500" max="1500" width="36" style="3" bestFit="1" customWidth="1"/>
    <col min="1501" max="1501" width="11.88671875" style="3" bestFit="1" customWidth="1"/>
    <col min="1502" max="1502" width="9.88671875" style="3" bestFit="1" customWidth="1"/>
    <col min="1503" max="1503" width="10" style="3" bestFit="1" customWidth="1"/>
    <col min="1504" max="1504" width="10.109375" style="3" bestFit="1" customWidth="1"/>
    <col min="1505" max="1505" width="10.88671875" style="3" bestFit="1" customWidth="1"/>
    <col min="1506" max="1506" width="9.109375" style="3" bestFit="1" customWidth="1"/>
    <col min="1507" max="1507" width="8.88671875" style="3" bestFit="1" customWidth="1"/>
    <col min="1508" max="1510" width="9.109375" style="3" bestFit="1" customWidth="1"/>
    <col min="1511" max="1511" width="8.88671875" style="3" bestFit="1" customWidth="1"/>
    <col min="1512" max="1512" width="9.88671875" style="3" customWidth="1"/>
    <col min="1513" max="1513" width="9.109375" style="3" bestFit="1" customWidth="1"/>
    <col min="1514" max="1514" width="9.88671875" style="3" customWidth="1"/>
    <col min="1515" max="1516" width="10" style="3" customWidth="1"/>
    <col min="1517" max="1517" width="9.109375" style="3" bestFit="1" customWidth="1"/>
    <col min="1518" max="1755" width="11.44140625" style="3"/>
    <col min="1756" max="1756" width="36" style="3" bestFit="1" customWidth="1"/>
    <col min="1757" max="1757" width="11.88671875" style="3" bestFit="1" customWidth="1"/>
    <col min="1758" max="1758" width="9.88671875" style="3" bestFit="1" customWidth="1"/>
    <col min="1759" max="1759" width="10" style="3" bestFit="1" customWidth="1"/>
    <col min="1760" max="1760" width="10.109375" style="3" bestFit="1" customWidth="1"/>
    <col min="1761" max="1761" width="10.88671875" style="3" bestFit="1" customWidth="1"/>
    <col min="1762" max="1762" width="9.109375" style="3" bestFit="1" customWidth="1"/>
    <col min="1763" max="1763" width="8.88671875" style="3" bestFit="1" customWidth="1"/>
    <col min="1764" max="1766" width="9.109375" style="3" bestFit="1" customWidth="1"/>
    <col min="1767" max="1767" width="8.88671875" style="3" bestFit="1" customWidth="1"/>
    <col min="1768" max="1768" width="9.88671875" style="3" customWidth="1"/>
    <col min="1769" max="1769" width="9.109375" style="3" bestFit="1" customWidth="1"/>
    <col min="1770" max="1770" width="9.88671875" style="3" customWidth="1"/>
    <col min="1771" max="1772" width="10" style="3" customWidth="1"/>
    <col min="1773" max="1773" width="9.109375" style="3" bestFit="1" customWidth="1"/>
    <col min="1774" max="2011" width="11.44140625" style="3"/>
    <col min="2012" max="2012" width="36" style="3" bestFit="1" customWidth="1"/>
    <col min="2013" max="2013" width="11.88671875" style="3" bestFit="1" customWidth="1"/>
    <col min="2014" max="2014" width="9.88671875" style="3" bestFit="1" customWidth="1"/>
    <col min="2015" max="2015" width="10" style="3" bestFit="1" customWidth="1"/>
    <col min="2016" max="2016" width="10.109375" style="3" bestFit="1" customWidth="1"/>
    <col min="2017" max="2017" width="10.88671875" style="3" bestFit="1" customWidth="1"/>
    <col min="2018" max="2018" width="9.109375" style="3" bestFit="1" customWidth="1"/>
    <col min="2019" max="2019" width="8.88671875" style="3" bestFit="1" customWidth="1"/>
    <col min="2020" max="2022" width="9.109375" style="3" bestFit="1" customWidth="1"/>
    <col min="2023" max="2023" width="8.88671875" style="3" bestFit="1" customWidth="1"/>
    <col min="2024" max="2024" width="9.88671875" style="3" customWidth="1"/>
    <col min="2025" max="2025" width="9.109375" style="3" bestFit="1" customWidth="1"/>
    <col min="2026" max="2026" width="9.88671875" style="3" customWidth="1"/>
    <col min="2027" max="2028" width="10" style="3" customWidth="1"/>
    <col min="2029" max="2029" width="9.109375" style="3" bestFit="1" customWidth="1"/>
    <col min="2030" max="2267" width="11.44140625" style="3"/>
    <col min="2268" max="2268" width="36" style="3" bestFit="1" customWidth="1"/>
    <col min="2269" max="2269" width="11.88671875" style="3" bestFit="1" customWidth="1"/>
    <col min="2270" max="2270" width="9.88671875" style="3" bestFit="1" customWidth="1"/>
    <col min="2271" max="2271" width="10" style="3" bestFit="1" customWidth="1"/>
    <col min="2272" max="2272" width="10.109375" style="3" bestFit="1" customWidth="1"/>
    <col min="2273" max="2273" width="10.88671875" style="3" bestFit="1" customWidth="1"/>
    <col min="2274" max="2274" width="9.109375" style="3" bestFit="1" customWidth="1"/>
    <col min="2275" max="2275" width="8.88671875" style="3" bestFit="1" customWidth="1"/>
    <col min="2276" max="2278" width="9.109375" style="3" bestFit="1" customWidth="1"/>
    <col min="2279" max="2279" width="8.88671875" style="3" bestFit="1" customWidth="1"/>
    <col min="2280" max="2280" width="9.88671875" style="3" customWidth="1"/>
    <col min="2281" max="2281" width="9.109375" style="3" bestFit="1" customWidth="1"/>
    <col min="2282" max="2282" width="9.88671875" style="3" customWidth="1"/>
    <col min="2283" max="2284" width="10" style="3" customWidth="1"/>
    <col min="2285" max="2285" width="9.109375" style="3" bestFit="1" customWidth="1"/>
    <col min="2286" max="2523" width="11.44140625" style="3"/>
    <col min="2524" max="2524" width="36" style="3" bestFit="1" customWidth="1"/>
    <col min="2525" max="2525" width="11.88671875" style="3" bestFit="1" customWidth="1"/>
    <col min="2526" max="2526" width="9.88671875" style="3" bestFit="1" customWidth="1"/>
    <col min="2527" max="2527" width="10" style="3" bestFit="1" customWidth="1"/>
    <col min="2528" max="2528" width="10.109375" style="3" bestFit="1" customWidth="1"/>
    <col min="2529" max="2529" width="10.88671875" style="3" bestFit="1" customWidth="1"/>
    <col min="2530" max="2530" width="9.109375" style="3" bestFit="1" customWidth="1"/>
    <col min="2531" max="2531" width="8.88671875" style="3" bestFit="1" customWidth="1"/>
    <col min="2532" max="2534" width="9.109375" style="3" bestFit="1" customWidth="1"/>
    <col min="2535" max="2535" width="8.88671875" style="3" bestFit="1" customWidth="1"/>
    <col min="2536" max="2536" width="9.88671875" style="3" customWidth="1"/>
    <col min="2537" max="2537" width="9.109375" style="3" bestFit="1" customWidth="1"/>
    <col min="2538" max="2538" width="9.88671875" style="3" customWidth="1"/>
    <col min="2539" max="2540" width="10" style="3" customWidth="1"/>
    <col min="2541" max="2541" width="9.109375" style="3" bestFit="1" customWidth="1"/>
    <col min="2542" max="2779" width="11.44140625" style="3"/>
    <col min="2780" max="2780" width="36" style="3" bestFit="1" customWidth="1"/>
    <col min="2781" max="2781" width="11.88671875" style="3" bestFit="1" customWidth="1"/>
    <col min="2782" max="2782" width="9.88671875" style="3" bestFit="1" customWidth="1"/>
    <col min="2783" max="2783" width="10" style="3" bestFit="1" customWidth="1"/>
    <col min="2784" max="2784" width="10.109375" style="3" bestFit="1" customWidth="1"/>
    <col min="2785" max="2785" width="10.88671875" style="3" bestFit="1" customWidth="1"/>
    <col min="2786" max="2786" width="9.109375" style="3" bestFit="1" customWidth="1"/>
    <col min="2787" max="2787" width="8.88671875" style="3" bestFit="1" customWidth="1"/>
    <col min="2788" max="2790" width="9.109375" style="3" bestFit="1" customWidth="1"/>
    <col min="2791" max="2791" width="8.88671875" style="3" bestFit="1" customWidth="1"/>
    <col min="2792" max="2792" width="9.88671875" style="3" customWidth="1"/>
    <col min="2793" max="2793" width="9.109375" style="3" bestFit="1" customWidth="1"/>
    <col min="2794" max="2794" width="9.88671875" style="3" customWidth="1"/>
    <col min="2795" max="2796" width="10" style="3" customWidth="1"/>
    <col min="2797" max="2797" width="9.109375" style="3" bestFit="1" customWidth="1"/>
    <col min="2798" max="3035" width="11.44140625" style="3"/>
    <col min="3036" max="3036" width="36" style="3" bestFit="1" customWidth="1"/>
    <col min="3037" max="3037" width="11.88671875" style="3" bestFit="1" customWidth="1"/>
    <col min="3038" max="3038" width="9.88671875" style="3" bestFit="1" customWidth="1"/>
    <col min="3039" max="3039" width="10" style="3" bestFit="1" customWidth="1"/>
    <col min="3040" max="3040" width="10.109375" style="3" bestFit="1" customWidth="1"/>
    <col min="3041" max="3041" width="10.88671875" style="3" bestFit="1" customWidth="1"/>
    <col min="3042" max="3042" width="9.109375" style="3" bestFit="1" customWidth="1"/>
    <col min="3043" max="3043" width="8.88671875" style="3" bestFit="1" customWidth="1"/>
    <col min="3044" max="3046" width="9.109375" style="3" bestFit="1" customWidth="1"/>
    <col min="3047" max="3047" width="8.88671875" style="3" bestFit="1" customWidth="1"/>
    <col min="3048" max="3048" width="9.88671875" style="3" customWidth="1"/>
    <col min="3049" max="3049" width="9.109375" style="3" bestFit="1" customWidth="1"/>
    <col min="3050" max="3050" width="9.88671875" style="3" customWidth="1"/>
    <col min="3051" max="3052" width="10" style="3" customWidth="1"/>
    <col min="3053" max="3053" width="9.109375" style="3" bestFit="1" customWidth="1"/>
    <col min="3054" max="3291" width="11.44140625" style="3"/>
    <col min="3292" max="3292" width="36" style="3" bestFit="1" customWidth="1"/>
    <col min="3293" max="3293" width="11.88671875" style="3" bestFit="1" customWidth="1"/>
    <col min="3294" max="3294" width="9.88671875" style="3" bestFit="1" customWidth="1"/>
    <col min="3295" max="3295" width="10" style="3" bestFit="1" customWidth="1"/>
    <col min="3296" max="3296" width="10.109375" style="3" bestFit="1" customWidth="1"/>
    <col min="3297" max="3297" width="10.88671875" style="3" bestFit="1" customWidth="1"/>
    <col min="3298" max="3298" width="9.109375" style="3" bestFit="1" customWidth="1"/>
    <col min="3299" max="3299" width="8.88671875" style="3" bestFit="1" customWidth="1"/>
    <col min="3300" max="3302" width="9.109375" style="3" bestFit="1" customWidth="1"/>
    <col min="3303" max="3303" width="8.88671875" style="3" bestFit="1" customWidth="1"/>
    <col min="3304" max="3304" width="9.88671875" style="3" customWidth="1"/>
    <col min="3305" max="3305" width="9.109375" style="3" bestFit="1" customWidth="1"/>
    <col min="3306" max="3306" width="9.88671875" style="3" customWidth="1"/>
    <col min="3307" max="3308" width="10" style="3" customWidth="1"/>
    <col min="3309" max="3309" width="9.109375" style="3" bestFit="1" customWidth="1"/>
    <col min="3310" max="3547" width="11.44140625" style="3"/>
    <col min="3548" max="3548" width="36" style="3" bestFit="1" customWidth="1"/>
    <col min="3549" max="3549" width="11.88671875" style="3" bestFit="1" customWidth="1"/>
    <col min="3550" max="3550" width="9.88671875" style="3" bestFit="1" customWidth="1"/>
    <col min="3551" max="3551" width="10" style="3" bestFit="1" customWidth="1"/>
    <col min="3552" max="3552" width="10.109375" style="3" bestFit="1" customWidth="1"/>
    <col min="3553" max="3553" width="10.88671875" style="3" bestFit="1" customWidth="1"/>
    <col min="3554" max="3554" width="9.109375" style="3" bestFit="1" customWidth="1"/>
    <col min="3555" max="3555" width="8.88671875" style="3" bestFit="1" customWidth="1"/>
    <col min="3556" max="3558" width="9.109375" style="3" bestFit="1" customWidth="1"/>
    <col min="3559" max="3559" width="8.88671875" style="3" bestFit="1" customWidth="1"/>
    <col min="3560" max="3560" width="9.88671875" style="3" customWidth="1"/>
    <col min="3561" max="3561" width="9.109375" style="3" bestFit="1" customWidth="1"/>
    <col min="3562" max="3562" width="9.88671875" style="3" customWidth="1"/>
    <col min="3563" max="3564" width="10" style="3" customWidth="1"/>
    <col min="3565" max="3565" width="9.109375" style="3" bestFit="1" customWidth="1"/>
    <col min="3566" max="3803" width="11.44140625" style="3"/>
    <col min="3804" max="3804" width="36" style="3" bestFit="1" customWidth="1"/>
    <col min="3805" max="3805" width="11.88671875" style="3" bestFit="1" customWidth="1"/>
    <col min="3806" max="3806" width="9.88671875" style="3" bestFit="1" customWidth="1"/>
    <col min="3807" max="3807" width="10" style="3" bestFit="1" customWidth="1"/>
    <col min="3808" max="3808" width="10.109375" style="3" bestFit="1" customWidth="1"/>
    <col min="3809" max="3809" width="10.88671875" style="3" bestFit="1" customWidth="1"/>
    <col min="3810" max="3810" width="9.109375" style="3" bestFit="1" customWidth="1"/>
    <col min="3811" max="3811" width="8.88671875" style="3" bestFit="1" customWidth="1"/>
    <col min="3812" max="3814" width="9.109375" style="3" bestFit="1" customWidth="1"/>
    <col min="3815" max="3815" width="8.88671875" style="3" bestFit="1" customWidth="1"/>
    <col min="3816" max="3816" width="9.88671875" style="3" customWidth="1"/>
    <col min="3817" max="3817" width="9.109375" style="3" bestFit="1" customWidth="1"/>
    <col min="3818" max="3818" width="9.88671875" style="3" customWidth="1"/>
    <col min="3819" max="3820" width="10" style="3" customWidth="1"/>
    <col min="3821" max="3821" width="9.109375" style="3" bestFit="1" customWidth="1"/>
    <col min="3822" max="4059" width="11.44140625" style="3"/>
    <col min="4060" max="4060" width="36" style="3" bestFit="1" customWidth="1"/>
    <col min="4061" max="4061" width="11.88671875" style="3" bestFit="1" customWidth="1"/>
    <col min="4062" max="4062" width="9.88671875" style="3" bestFit="1" customWidth="1"/>
    <col min="4063" max="4063" width="10" style="3" bestFit="1" customWidth="1"/>
    <col min="4064" max="4064" width="10.109375" style="3" bestFit="1" customWidth="1"/>
    <col min="4065" max="4065" width="10.88671875" style="3" bestFit="1" customWidth="1"/>
    <col min="4066" max="4066" width="9.109375" style="3" bestFit="1" customWidth="1"/>
    <col min="4067" max="4067" width="8.88671875" style="3" bestFit="1" customWidth="1"/>
    <col min="4068" max="4070" width="9.109375" style="3" bestFit="1" customWidth="1"/>
    <col min="4071" max="4071" width="8.88671875" style="3" bestFit="1" customWidth="1"/>
    <col min="4072" max="4072" width="9.88671875" style="3" customWidth="1"/>
    <col min="4073" max="4073" width="9.109375" style="3" bestFit="1" customWidth="1"/>
    <col min="4074" max="4074" width="9.88671875" style="3" customWidth="1"/>
    <col min="4075" max="4076" width="10" style="3" customWidth="1"/>
    <col min="4077" max="4077" width="9.109375" style="3" bestFit="1" customWidth="1"/>
    <col min="4078" max="4315" width="11.44140625" style="3"/>
    <col min="4316" max="4316" width="36" style="3" bestFit="1" customWidth="1"/>
    <col min="4317" max="4317" width="11.88671875" style="3" bestFit="1" customWidth="1"/>
    <col min="4318" max="4318" width="9.88671875" style="3" bestFit="1" customWidth="1"/>
    <col min="4319" max="4319" width="10" style="3" bestFit="1" customWidth="1"/>
    <col min="4320" max="4320" width="10.109375" style="3" bestFit="1" customWidth="1"/>
    <col min="4321" max="4321" width="10.88671875" style="3" bestFit="1" customWidth="1"/>
    <col min="4322" max="4322" width="9.109375" style="3" bestFit="1" customWidth="1"/>
    <col min="4323" max="4323" width="8.88671875" style="3" bestFit="1" customWidth="1"/>
    <col min="4324" max="4326" width="9.109375" style="3" bestFit="1" customWidth="1"/>
    <col min="4327" max="4327" width="8.88671875" style="3" bestFit="1" customWidth="1"/>
    <col min="4328" max="4328" width="9.88671875" style="3" customWidth="1"/>
    <col min="4329" max="4329" width="9.109375" style="3" bestFit="1" customWidth="1"/>
    <col min="4330" max="4330" width="9.88671875" style="3" customWidth="1"/>
    <col min="4331" max="4332" width="10" style="3" customWidth="1"/>
    <col min="4333" max="4333" width="9.109375" style="3" bestFit="1" customWidth="1"/>
    <col min="4334" max="4571" width="11.44140625" style="3"/>
    <col min="4572" max="4572" width="36" style="3" bestFit="1" customWidth="1"/>
    <col min="4573" max="4573" width="11.88671875" style="3" bestFit="1" customWidth="1"/>
    <col min="4574" max="4574" width="9.88671875" style="3" bestFit="1" customWidth="1"/>
    <col min="4575" max="4575" width="10" style="3" bestFit="1" customWidth="1"/>
    <col min="4576" max="4576" width="10.109375" style="3" bestFit="1" customWidth="1"/>
    <col min="4577" max="4577" width="10.88671875" style="3" bestFit="1" customWidth="1"/>
    <col min="4578" max="4578" width="9.109375" style="3" bestFit="1" customWidth="1"/>
    <col min="4579" max="4579" width="8.88671875" style="3" bestFit="1" customWidth="1"/>
    <col min="4580" max="4582" width="9.109375" style="3" bestFit="1" customWidth="1"/>
    <col min="4583" max="4583" width="8.88671875" style="3" bestFit="1" customWidth="1"/>
    <col min="4584" max="4584" width="9.88671875" style="3" customWidth="1"/>
    <col min="4585" max="4585" width="9.109375" style="3" bestFit="1" customWidth="1"/>
    <col min="4586" max="4586" width="9.88671875" style="3" customWidth="1"/>
    <col min="4587" max="4588" width="10" style="3" customWidth="1"/>
    <col min="4589" max="4589" width="9.109375" style="3" bestFit="1" customWidth="1"/>
    <col min="4590" max="4827" width="11.44140625" style="3"/>
    <col min="4828" max="4828" width="36" style="3" bestFit="1" customWidth="1"/>
    <col min="4829" max="4829" width="11.88671875" style="3" bestFit="1" customWidth="1"/>
    <col min="4830" max="4830" width="9.88671875" style="3" bestFit="1" customWidth="1"/>
    <col min="4831" max="4831" width="10" style="3" bestFit="1" customWidth="1"/>
    <col min="4832" max="4832" width="10.109375" style="3" bestFit="1" customWidth="1"/>
    <col min="4833" max="4833" width="10.88671875" style="3" bestFit="1" customWidth="1"/>
    <col min="4834" max="4834" width="9.109375" style="3" bestFit="1" customWidth="1"/>
    <col min="4835" max="4835" width="8.88671875" style="3" bestFit="1" customWidth="1"/>
    <col min="4836" max="4838" width="9.109375" style="3" bestFit="1" customWidth="1"/>
    <col min="4839" max="4839" width="8.88671875" style="3" bestFit="1" customWidth="1"/>
    <col min="4840" max="4840" width="9.88671875" style="3" customWidth="1"/>
    <col min="4841" max="4841" width="9.109375" style="3" bestFit="1" customWidth="1"/>
    <col min="4842" max="4842" width="9.88671875" style="3" customWidth="1"/>
    <col min="4843" max="4844" width="10" style="3" customWidth="1"/>
    <col min="4845" max="4845" width="9.109375" style="3" bestFit="1" customWidth="1"/>
    <col min="4846" max="5083" width="11.44140625" style="3"/>
    <col min="5084" max="5084" width="36" style="3" bestFit="1" customWidth="1"/>
    <col min="5085" max="5085" width="11.88671875" style="3" bestFit="1" customWidth="1"/>
    <col min="5086" max="5086" width="9.88671875" style="3" bestFit="1" customWidth="1"/>
    <col min="5087" max="5087" width="10" style="3" bestFit="1" customWidth="1"/>
    <col min="5088" max="5088" width="10.109375" style="3" bestFit="1" customWidth="1"/>
    <col min="5089" max="5089" width="10.88671875" style="3" bestFit="1" customWidth="1"/>
    <col min="5090" max="5090" width="9.109375" style="3" bestFit="1" customWidth="1"/>
    <col min="5091" max="5091" width="8.88671875" style="3" bestFit="1" customWidth="1"/>
    <col min="5092" max="5094" width="9.109375" style="3" bestFit="1" customWidth="1"/>
    <col min="5095" max="5095" width="8.88671875" style="3" bestFit="1" customWidth="1"/>
    <col min="5096" max="5096" width="9.88671875" style="3" customWidth="1"/>
    <col min="5097" max="5097" width="9.109375" style="3" bestFit="1" customWidth="1"/>
    <col min="5098" max="5098" width="9.88671875" style="3" customWidth="1"/>
    <col min="5099" max="5100" width="10" style="3" customWidth="1"/>
    <col min="5101" max="5101" width="9.109375" style="3" bestFit="1" customWidth="1"/>
    <col min="5102" max="5339" width="11.44140625" style="3"/>
    <col min="5340" max="5340" width="36" style="3" bestFit="1" customWidth="1"/>
    <col min="5341" max="5341" width="11.88671875" style="3" bestFit="1" customWidth="1"/>
    <col min="5342" max="5342" width="9.88671875" style="3" bestFit="1" customWidth="1"/>
    <col min="5343" max="5343" width="10" style="3" bestFit="1" customWidth="1"/>
    <col min="5344" max="5344" width="10.109375" style="3" bestFit="1" customWidth="1"/>
    <col min="5345" max="5345" width="10.88671875" style="3" bestFit="1" customWidth="1"/>
    <col min="5346" max="5346" width="9.109375" style="3" bestFit="1" customWidth="1"/>
    <col min="5347" max="5347" width="8.88671875" style="3" bestFit="1" customWidth="1"/>
    <col min="5348" max="5350" width="9.109375" style="3" bestFit="1" customWidth="1"/>
    <col min="5351" max="5351" width="8.88671875" style="3" bestFit="1" customWidth="1"/>
    <col min="5352" max="5352" width="9.88671875" style="3" customWidth="1"/>
    <col min="5353" max="5353" width="9.109375" style="3" bestFit="1" customWidth="1"/>
    <col min="5354" max="5354" width="9.88671875" style="3" customWidth="1"/>
    <col min="5355" max="5356" width="10" style="3" customWidth="1"/>
    <col min="5357" max="5357" width="9.109375" style="3" bestFit="1" customWidth="1"/>
    <col min="5358" max="5595" width="11.44140625" style="3"/>
    <col min="5596" max="5596" width="36" style="3" bestFit="1" customWidth="1"/>
    <col min="5597" max="5597" width="11.88671875" style="3" bestFit="1" customWidth="1"/>
    <col min="5598" max="5598" width="9.88671875" style="3" bestFit="1" customWidth="1"/>
    <col min="5599" max="5599" width="10" style="3" bestFit="1" customWidth="1"/>
    <col min="5600" max="5600" width="10.109375" style="3" bestFit="1" customWidth="1"/>
    <col min="5601" max="5601" width="10.88671875" style="3" bestFit="1" customWidth="1"/>
    <col min="5602" max="5602" width="9.109375" style="3" bestFit="1" customWidth="1"/>
    <col min="5603" max="5603" width="8.88671875" style="3" bestFit="1" customWidth="1"/>
    <col min="5604" max="5606" width="9.109375" style="3" bestFit="1" customWidth="1"/>
    <col min="5607" max="5607" width="8.88671875" style="3" bestFit="1" customWidth="1"/>
    <col min="5608" max="5608" width="9.88671875" style="3" customWidth="1"/>
    <col min="5609" max="5609" width="9.109375" style="3" bestFit="1" customWidth="1"/>
    <col min="5610" max="5610" width="9.88671875" style="3" customWidth="1"/>
    <col min="5611" max="5612" width="10" style="3" customWidth="1"/>
    <col min="5613" max="5613" width="9.109375" style="3" bestFit="1" customWidth="1"/>
    <col min="5614" max="5851" width="11.44140625" style="3"/>
    <col min="5852" max="5852" width="36" style="3" bestFit="1" customWidth="1"/>
    <col min="5853" max="5853" width="11.88671875" style="3" bestFit="1" customWidth="1"/>
    <col min="5854" max="5854" width="9.88671875" style="3" bestFit="1" customWidth="1"/>
    <col min="5855" max="5855" width="10" style="3" bestFit="1" customWidth="1"/>
    <col min="5856" max="5856" width="10.109375" style="3" bestFit="1" customWidth="1"/>
    <col min="5857" max="5857" width="10.88671875" style="3" bestFit="1" customWidth="1"/>
    <col min="5858" max="5858" width="9.109375" style="3" bestFit="1" customWidth="1"/>
    <col min="5859" max="5859" width="8.88671875" style="3" bestFit="1" customWidth="1"/>
    <col min="5860" max="5862" width="9.109375" style="3" bestFit="1" customWidth="1"/>
    <col min="5863" max="5863" width="8.88671875" style="3" bestFit="1" customWidth="1"/>
    <col min="5864" max="5864" width="9.88671875" style="3" customWidth="1"/>
    <col min="5865" max="5865" width="9.109375" style="3" bestFit="1" customWidth="1"/>
    <col min="5866" max="5866" width="9.88671875" style="3" customWidth="1"/>
    <col min="5867" max="5868" width="10" style="3" customWidth="1"/>
    <col min="5869" max="5869" width="9.109375" style="3" bestFit="1" customWidth="1"/>
    <col min="5870" max="6107" width="11.44140625" style="3"/>
    <col min="6108" max="6108" width="36" style="3" bestFit="1" customWidth="1"/>
    <col min="6109" max="6109" width="11.88671875" style="3" bestFit="1" customWidth="1"/>
    <col min="6110" max="6110" width="9.88671875" style="3" bestFit="1" customWidth="1"/>
    <col min="6111" max="6111" width="10" style="3" bestFit="1" customWidth="1"/>
    <col min="6112" max="6112" width="10.109375" style="3" bestFit="1" customWidth="1"/>
    <col min="6113" max="6113" width="10.88671875" style="3" bestFit="1" customWidth="1"/>
    <col min="6114" max="6114" width="9.109375" style="3" bestFit="1" customWidth="1"/>
    <col min="6115" max="6115" width="8.88671875" style="3" bestFit="1" customWidth="1"/>
    <col min="6116" max="6118" width="9.109375" style="3" bestFit="1" customWidth="1"/>
    <col min="6119" max="6119" width="8.88671875" style="3" bestFit="1" customWidth="1"/>
    <col min="6120" max="6120" width="9.88671875" style="3" customWidth="1"/>
    <col min="6121" max="6121" width="9.109375" style="3" bestFit="1" customWidth="1"/>
    <col min="6122" max="6122" width="9.88671875" style="3" customWidth="1"/>
    <col min="6123" max="6124" width="10" style="3" customWidth="1"/>
    <col min="6125" max="6125" width="9.109375" style="3" bestFit="1" customWidth="1"/>
    <col min="6126" max="6363" width="11.44140625" style="3"/>
    <col min="6364" max="6364" width="36" style="3" bestFit="1" customWidth="1"/>
    <col min="6365" max="6365" width="11.88671875" style="3" bestFit="1" customWidth="1"/>
    <col min="6366" max="6366" width="9.88671875" style="3" bestFit="1" customWidth="1"/>
    <col min="6367" max="6367" width="10" style="3" bestFit="1" customWidth="1"/>
    <col min="6368" max="6368" width="10.109375" style="3" bestFit="1" customWidth="1"/>
    <col min="6369" max="6369" width="10.88671875" style="3" bestFit="1" customWidth="1"/>
    <col min="6370" max="6370" width="9.109375" style="3" bestFit="1" customWidth="1"/>
    <col min="6371" max="6371" width="8.88671875" style="3" bestFit="1" customWidth="1"/>
    <col min="6372" max="6374" width="9.109375" style="3" bestFit="1" customWidth="1"/>
    <col min="6375" max="6375" width="8.88671875" style="3" bestFit="1" customWidth="1"/>
    <col min="6376" max="6376" width="9.88671875" style="3" customWidth="1"/>
    <col min="6377" max="6377" width="9.109375" style="3" bestFit="1" customWidth="1"/>
    <col min="6378" max="6378" width="9.88671875" style="3" customWidth="1"/>
    <col min="6379" max="6380" width="10" style="3" customWidth="1"/>
    <col min="6381" max="6381" width="9.109375" style="3" bestFit="1" customWidth="1"/>
    <col min="6382" max="6619" width="11.44140625" style="3"/>
    <col min="6620" max="6620" width="36" style="3" bestFit="1" customWidth="1"/>
    <col min="6621" max="6621" width="11.88671875" style="3" bestFit="1" customWidth="1"/>
    <col min="6622" max="6622" width="9.88671875" style="3" bestFit="1" customWidth="1"/>
    <col min="6623" max="6623" width="10" style="3" bestFit="1" customWidth="1"/>
    <col min="6624" max="6624" width="10.109375" style="3" bestFit="1" customWidth="1"/>
    <col min="6625" max="6625" width="10.88671875" style="3" bestFit="1" customWidth="1"/>
    <col min="6626" max="6626" width="9.109375" style="3" bestFit="1" customWidth="1"/>
    <col min="6627" max="6627" width="8.88671875" style="3" bestFit="1" customWidth="1"/>
    <col min="6628" max="6630" width="9.109375" style="3" bestFit="1" customWidth="1"/>
    <col min="6631" max="6631" width="8.88671875" style="3" bestFit="1" customWidth="1"/>
    <col min="6632" max="6632" width="9.88671875" style="3" customWidth="1"/>
    <col min="6633" max="6633" width="9.109375" style="3" bestFit="1" customWidth="1"/>
    <col min="6634" max="6634" width="9.88671875" style="3" customWidth="1"/>
    <col min="6635" max="6636" width="10" style="3" customWidth="1"/>
    <col min="6637" max="6637" width="9.109375" style="3" bestFit="1" customWidth="1"/>
    <col min="6638" max="6875" width="11.44140625" style="3"/>
    <col min="6876" max="6876" width="36" style="3" bestFit="1" customWidth="1"/>
    <col min="6877" max="6877" width="11.88671875" style="3" bestFit="1" customWidth="1"/>
    <col min="6878" max="6878" width="9.88671875" style="3" bestFit="1" customWidth="1"/>
    <col min="6879" max="6879" width="10" style="3" bestFit="1" customWidth="1"/>
    <col min="6880" max="6880" width="10.109375" style="3" bestFit="1" customWidth="1"/>
    <col min="6881" max="6881" width="10.88671875" style="3" bestFit="1" customWidth="1"/>
    <col min="6882" max="6882" width="9.109375" style="3" bestFit="1" customWidth="1"/>
    <col min="6883" max="6883" width="8.88671875" style="3" bestFit="1" customWidth="1"/>
    <col min="6884" max="6886" width="9.109375" style="3" bestFit="1" customWidth="1"/>
    <col min="6887" max="6887" width="8.88671875" style="3" bestFit="1" customWidth="1"/>
    <col min="6888" max="6888" width="9.88671875" style="3" customWidth="1"/>
    <col min="6889" max="6889" width="9.109375" style="3" bestFit="1" customWidth="1"/>
    <col min="6890" max="6890" width="9.88671875" style="3" customWidth="1"/>
    <col min="6891" max="6892" width="10" style="3" customWidth="1"/>
    <col min="6893" max="6893" width="9.109375" style="3" bestFit="1" customWidth="1"/>
    <col min="6894" max="7131" width="11.44140625" style="3"/>
    <col min="7132" max="7132" width="36" style="3" bestFit="1" customWidth="1"/>
    <col min="7133" max="7133" width="11.88671875" style="3" bestFit="1" customWidth="1"/>
    <col min="7134" max="7134" width="9.88671875" style="3" bestFit="1" customWidth="1"/>
    <col min="7135" max="7135" width="10" style="3" bestFit="1" customWidth="1"/>
    <col min="7136" max="7136" width="10.109375" style="3" bestFit="1" customWidth="1"/>
    <col min="7137" max="7137" width="10.88671875" style="3" bestFit="1" customWidth="1"/>
    <col min="7138" max="7138" width="9.109375" style="3" bestFit="1" customWidth="1"/>
    <col min="7139" max="7139" width="8.88671875" style="3" bestFit="1" customWidth="1"/>
    <col min="7140" max="7142" width="9.109375" style="3" bestFit="1" customWidth="1"/>
    <col min="7143" max="7143" width="8.88671875" style="3" bestFit="1" customWidth="1"/>
    <col min="7144" max="7144" width="9.88671875" style="3" customWidth="1"/>
    <col min="7145" max="7145" width="9.109375" style="3" bestFit="1" customWidth="1"/>
    <col min="7146" max="7146" width="9.88671875" style="3" customWidth="1"/>
    <col min="7147" max="7148" width="10" style="3" customWidth="1"/>
    <col min="7149" max="7149" width="9.109375" style="3" bestFit="1" customWidth="1"/>
    <col min="7150" max="7387" width="11.44140625" style="3"/>
    <col min="7388" max="7388" width="36" style="3" bestFit="1" customWidth="1"/>
    <col min="7389" max="7389" width="11.88671875" style="3" bestFit="1" customWidth="1"/>
    <col min="7390" max="7390" width="9.88671875" style="3" bestFit="1" customWidth="1"/>
    <col min="7391" max="7391" width="10" style="3" bestFit="1" customWidth="1"/>
    <col min="7392" max="7392" width="10.109375" style="3" bestFit="1" customWidth="1"/>
    <col min="7393" max="7393" width="10.88671875" style="3" bestFit="1" customWidth="1"/>
    <col min="7394" max="7394" width="9.109375" style="3" bestFit="1" customWidth="1"/>
    <col min="7395" max="7395" width="8.88671875" style="3" bestFit="1" customWidth="1"/>
    <col min="7396" max="7398" width="9.109375" style="3" bestFit="1" customWidth="1"/>
    <col min="7399" max="7399" width="8.88671875" style="3" bestFit="1" customWidth="1"/>
    <col min="7400" max="7400" width="9.88671875" style="3" customWidth="1"/>
    <col min="7401" max="7401" width="9.109375" style="3" bestFit="1" customWidth="1"/>
    <col min="7402" max="7402" width="9.88671875" style="3" customWidth="1"/>
    <col min="7403" max="7404" width="10" style="3" customWidth="1"/>
    <col min="7405" max="7405" width="9.109375" style="3" bestFit="1" customWidth="1"/>
    <col min="7406" max="7643" width="11.44140625" style="3"/>
    <col min="7644" max="7644" width="36" style="3" bestFit="1" customWidth="1"/>
    <col min="7645" max="7645" width="11.88671875" style="3" bestFit="1" customWidth="1"/>
    <col min="7646" max="7646" width="9.88671875" style="3" bestFit="1" customWidth="1"/>
    <col min="7647" max="7647" width="10" style="3" bestFit="1" customWidth="1"/>
    <col min="7648" max="7648" width="10.109375" style="3" bestFit="1" customWidth="1"/>
    <col min="7649" max="7649" width="10.88671875" style="3" bestFit="1" customWidth="1"/>
    <col min="7650" max="7650" width="9.109375" style="3" bestFit="1" customWidth="1"/>
    <col min="7651" max="7651" width="8.88671875" style="3" bestFit="1" customWidth="1"/>
    <col min="7652" max="7654" width="9.109375" style="3" bestFit="1" customWidth="1"/>
    <col min="7655" max="7655" width="8.88671875" style="3" bestFit="1" customWidth="1"/>
    <col min="7656" max="7656" width="9.88671875" style="3" customWidth="1"/>
    <col min="7657" max="7657" width="9.109375" style="3" bestFit="1" customWidth="1"/>
    <col min="7658" max="7658" width="9.88671875" style="3" customWidth="1"/>
    <col min="7659" max="7660" width="10" style="3" customWidth="1"/>
    <col min="7661" max="7661" width="9.109375" style="3" bestFit="1" customWidth="1"/>
    <col min="7662" max="7899" width="11.44140625" style="3"/>
    <col min="7900" max="7900" width="36" style="3" bestFit="1" customWidth="1"/>
    <col min="7901" max="7901" width="11.88671875" style="3" bestFit="1" customWidth="1"/>
    <col min="7902" max="7902" width="9.88671875" style="3" bestFit="1" customWidth="1"/>
    <col min="7903" max="7903" width="10" style="3" bestFit="1" customWidth="1"/>
    <col min="7904" max="7904" width="10.109375" style="3" bestFit="1" customWidth="1"/>
    <col min="7905" max="7905" width="10.88671875" style="3" bestFit="1" customWidth="1"/>
    <col min="7906" max="7906" width="9.109375" style="3" bestFit="1" customWidth="1"/>
    <col min="7907" max="7907" width="8.88671875" style="3" bestFit="1" customWidth="1"/>
    <col min="7908" max="7910" width="9.109375" style="3" bestFit="1" customWidth="1"/>
    <col min="7911" max="7911" width="8.88671875" style="3" bestFit="1" customWidth="1"/>
    <col min="7912" max="7912" width="9.88671875" style="3" customWidth="1"/>
    <col min="7913" max="7913" width="9.109375" style="3" bestFit="1" customWidth="1"/>
    <col min="7914" max="7914" width="9.88671875" style="3" customWidth="1"/>
    <col min="7915" max="7916" width="10" style="3" customWidth="1"/>
    <col min="7917" max="7917" width="9.109375" style="3" bestFit="1" customWidth="1"/>
    <col min="7918" max="8155" width="11.44140625" style="3"/>
    <col min="8156" max="8156" width="36" style="3" bestFit="1" customWidth="1"/>
    <col min="8157" max="8157" width="11.88671875" style="3" bestFit="1" customWidth="1"/>
    <col min="8158" max="8158" width="9.88671875" style="3" bestFit="1" customWidth="1"/>
    <col min="8159" max="8159" width="10" style="3" bestFit="1" customWidth="1"/>
    <col min="8160" max="8160" width="10.109375" style="3" bestFit="1" customWidth="1"/>
    <col min="8161" max="8161" width="10.88671875" style="3" bestFit="1" customWidth="1"/>
    <col min="8162" max="8162" width="9.109375" style="3" bestFit="1" customWidth="1"/>
    <col min="8163" max="8163" width="8.88671875" style="3" bestFit="1" customWidth="1"/>
    <col min="8164" max="8166" width="9.109375" style="3" bestFit="1" customWidth="1"/>
    <col min="8167" max="8167" width="8.88671875" style="3" bestFit="1" customWidth="1"/>
    <col min="8168" max="8168" width="9.88671875" style="3" customWidth="1"/>
    <col min="8169" max="8169" width="9.109375" style="3" bestFit="1" customWidth="1"/>
    <col min="8170" max="8170" width="9.88671875" style="3" customWidth="1"/>
    <col min="8171" max="8172" width="10" style="3" customWidth="1"/>
    <col min="8173" max="8173" width="9.109375" style="3" bestFit="1" customWidth="1"/>
    <col min="8174" max="8411" width="11.44140625" style="3"/>
    <col min="8412" max="8412" width="36" style="3" bestFit="1" customWidth="1"/>
    <col min="8413" max="8413" width="11.88671875" style="3" bestFit="1" customWidth="1"/>
    <col min="8414" max="8414" width="9.88671875" style="3" bestFit="1" customWidth="1"/>
    <col min="8415" max="8415" width="10" style="3" bestFit="1" customWidth="1"/>
    <col min="8416" max="8416" width="10.109375" style="3" bestFit="1" customWidth="1"/>
    <col min="8417" max="8417" width="10.88671875" style="3" bestFit="1" customWidth="1"/>
    <col min="8418" max="8418" width="9.109375" style="3" bestFit="1" customWidth="1"/>
    <col min="8419" max="8419" width="8.88671875" style="3" bestFit="1" customWidth="1"/>
    <col min="8420" max="8422" width="9.109375" style="3" bestFit="1" customWidth="1"/>
    <col min="8423" max="8423" width="8.88671875" style="3" bestFit="1" customWidth="1"/>
    <col min="8424" max="8424" width="9.88671875" style="3" customWidth="1"/>
    <col min="8425" max="8425" width="9.109375" style="3" bestFit="1" customWidth="1"/>
    <col min="8426" max="8426" width="9.88671875" style="3" customWidth="1"/>
    <col min="8427" max="8428" width="10" style="3" customWidth="1"/>
    <col min="8429" max="8429" width="9.109375" style="3" bestFit="1" customWidth="1"/>
    <col min="8430" max="8667" width="11.44140625" style="3"/>
    <col min="8668" max="8668" width="36" style="3" bestFit="1" customWidth="1"/>
    <col min="8669" max="8669" width="11.88671875" style="3" bestFit="1" customWidth="1"/>
    <col min="8670" max="8670" width="9.88671875" style="3" bestFit="1" customWidth="1"/>
    <col min="8671" max="8671" width="10" style="3" bestFit="1" customWidth="1"/>
    <col min="8672" max="8672" width="10.109375" style="3" bestFit="1" customWidth="1"/>
    <col min="8673" max="8673" width="10.88671875" style="3" bestFit="1" customWidth="1"/>
    <col min="8674" max="8674" width="9.109375" style="3" bestFit="1" customWidth="1"/>
    <col min="8675" max="8675" width="8.88671875" style="3" bestFit="1" customWidth="1"/>
    <col min="8676" max="8678" width="9.109375" style="3" bestFit="1" customWidth="1"/>
    <col min="8679" max="8679" width="8.88671875" style="3" bestFit="1" customWidth="1"/>
    <col min="8680" max="8680" width="9.88671875" style="3" customWidth="1"/>
    <col min="8681" max="8681" width="9.109375" style="3" bestFit="1" customWidth="1"/>
    <col min="8682" max="8682" width="9.88671875" style="3" customWidth="1"/>
    <col min="8683" max="8684" width="10" style="3" customWidth="1"/>
    <col min="8685" max="8685" width="9.109375" style="3" bestFit="1" customWidth="1"/>
    <col min="8686" max="8923" width="11.44140625" style="3"/>
    <col min="8924" max="8924" width="36" style="3" bestFit="1" customWidth="1"/>
    <col min="8925" max="8925" width="11.88671875" style="3" bestFit="1" customWidth="1"/>
    <col min="8926" max="8926" width="9.88671875" style="3" bestFit="1" customWidth="1"/>
    <col min="8927" max="8927" width="10" style="3" bestFit="1" customWidth="1"/>
    <col min="8928" max="8928" width="10.109375" style="3" bestFit="1" customWidth="1"/>
    <col min="8929" max="8929" width="10.88671875" style="3" bestFit="1" customWidth="1"/>
    <col min="8930" max="8930" width="9.109375" style="3" bestFit="1" customWidth="1"/>
    <col min="8931" max="8931" width="8.88671875" style="3" bestFit="1" customWidth="1"/>
    <col min="8932" max="8934" width="9.109375" style="3" bestFit="1" customWidth="1"/>
    <col min="8935" max="8935" width="8.88671875" style="3" bestFit="1" customWidth="1"/>
    <col min="8936" max="8936" width="9.88671875" style="3" customWidth="1"/>
    <col min="8937" max="8937" width="9.109375" style="3" bestFit="1" customWidth="1"/>
    <col min="8938" max="8938" width="9.88671875" style="3" customWidth="1"/>
    <col min="8939" max="8940" width="10" style="3" customWidth="1"/>
    <col min="8941" max="8941" width="9.109375" style="3" bestFit="1" customWidth="1"/>
    <col min="8942" max="9179" width="11.44140625" style="3"/>
    <col min="9180" max="9180" width="36" style="3" bestFit="1" customWidth="1"/>
    <col min="9181" max="9181" width="11.88671875" style="3" bestFit="1" customWidth="1"/>
    <col min="9182" max="9182" width="9.88671875" style="3" bestFit="1" customWidth="1"/>
    <col min="9183" max="9183" width="10" style="3" bestFit="1" customWidth="1"/>
    <col min="9184" max="9184" width="10.109375" style="3" bestFit="1" customWidth="1"/>
    <col min="9185" max="9185" width="10.88671875" style="3" bestFit="1" customWidth="1"/>
    <col min="9186" max="9186" width="9.109375" style="3" bestFit="1" customWidth="1"/>
    <col min="9187" max="9187" width="8.88671875" style="3" bestFit="1" customWidth="1"/>
    <col min="9188" max="9190" width="9.109375" style="3" bestFit="1" customWidth="1"/>
    <col min="9191" max="9191" width="8.88671875" style="3" bestFit="1" customWidth="1"/>
    <col min="9192" max="9192" width="9.88671875" style="3" customWidth="1"/>
    <col min="9193" max="9193" width="9.109375" style="3" bestFit="1" customWidth="1"/>
    <col min="9194" max="9194" width="9.88671875" style="3" customWidth="1"/>
    <col min="9195" max="9196" width="10" style="3" customWidth="1"/>
    <col min="9197" max="9197" width="9.109375" style="3" bestFit="1" customWidth="1"/>
    <col min="9198" max="9435" width="11.44140625" style="3"/>
    <col min="9436" max="9436" width="36" style="3" bestFit="1" customWidth="1"/>
    <col min="9437" max="9437" width="11.88671875" style="3" bestFit="1" customWidth="1"/>
    <col min="9438" max="9438" width="9.88671875" style="3" bestFit="1" customWidth="1"/>
    <col min="9439" max="9439" width="10" style="3" bestFit="1" customWidth="1"/>
    <col min="9440" max="9440" width="10.109375" style="3" bestFit="1" customWidth="1"/>
    <col min="9441" max="9441" width="10.88671875" style="3" bestFit="1" customWidth="1"/>
    <col min="9442" max="9442" width="9.109375" style="3" bestFit="1" customWidth="1"/>
    <col min="9443" max="9443" width="8.88671875" style="3" bestFit="1" customWidth="1"/>
    <col min="9444" max="9446" width="9.109375" style="3" bestFit="1" customWidth="1"/>
    <col min="9447" max="9447" width="8.88671875" style="3" bestFit="1" customWidth="1"/>
    <col min="9448" max="9448" width="9.88671875" style="3" customWidth="1"/>
    <col min="9449" max="9449" width="9.109375" style="3" bestFit="1" customWidth="1"/>
    <col min="9450" max="9450" width="9.88671875" style="3" customWidth="1"/>
    <col min="9451" max="9452" width="10" style="3" customWidth="1"/>
    <col min="9453" max="9453" width="9.109375" style="3" bestFit="1" customWidth="1"/>
    <col min="9454" max="9691" width="11.44140625" style="3"/>
    <col min="9692" max="9692" width="36" style="3" bestFit="1" customWidth="1"/>
    <col min="9693" max="9693" width="11.88671875" style="3" bestFit="1" customWidth="1"/>
    <col min="9694" max="9694" width="9.88671875" style="3" bestFit="1" customWidth="1"/>
    <col min="9695" max="9695" width="10" style="3" bestFit="1" customWidth="1"/>
    <col min="9696" max="9696" width="10.109375" style="3" bestFit="1" customWidth="1"/>
    <col min="9697" max="9697" width="10.88671875" style="3" bestFit="1" customWidth="1"/>
    <col min="9698" max="9698" width="9.109375" style="3" bestFit="1" customWidth="1"/>
    <col min="9699" max="9699" width="8.88671875" style="3" bestFit="1" customWidth="1"/>
    <col min="9700" max="9702" width="9.109375" style="3" bestFit="1" customWidth="1"/>
    <col min="9703" max="9703" width="8.88671875" style="3" bestFit="1" customWidth="1"/>
    <col min="9704" max="9704" width="9.88671875" style="3" customWidth="1"/>
    <col min="9705" max="9705" width="9.109375" style="3" bestFit="1" customWidth="1"/>
    <col min="9706" max="9706" width="9.88671875" style="3" customWidth="1"/>
    <col min="9707" max="9708" width="10" style="3" customWidth="1"/>
    <col min="9709" max="9709" width="9.109375" style="3" bestFit="1" customWidth="1"/>
    <col min="9710" max="9947" width="11.44140625" style="3"/>
    <col min="9948" max="9948" width="36" style="3" bestFit="1" customWidth="1"/>
    <col min="9949" max="9949" width="11.88671875" style="3" bestFit="1" customWidth="1"/>
    <col min="9950" max="9950" width="9.88671875" style="3" bestFit="1" customWidth="1"/>
    <col min="9951" max="9951" width="10" style="3" bestFit="1" customWidth="1"/>
    <col min="9952" max="9952" width="10.109375" style="3" bestFit="1" customWidth="1"/>
    <col min="9953" max="9953" width="10.88671875" style="3" bestFit="1" customWidth="1"/>
    <col min="9954" max="9954" width="9.109375" style="3" bestFit="1" customWidth="1"/>
    <col min="9955" max="9955" width="8.88671875" style="3" bestFit="1" customWidth="1"/>
    <col min="9956" max="9958" width="9.109375" style="3" bestFit="1" customWidth="1"/>
    <col min="9959" max="9959" width="8.88671875" style="3" bestFit="1" customWidth="1"/>
    <col min="9960" max="9960" width="9.88671875" style="3" customWidth="1"/>
    <col min="9961" max="9961" width="9.109375" style="3" bestFit="1" customWidth="1"/>
    <col min="9962" max="9962" width="9.88671875" style="3" customWidth="1"/>
    <col min="9963" max="9964" width="10" style="3" customWidth="1"/>
    <col min="9965" max="9965" width="9.109375" style="3" bestFit="1" customWidth="1"/>
    <col min="9966" max="10203" width="11.44140625" style="3"/>
    <col min="10204" max="10204" width="36" style="3" bestFit="1" customWidth="1"/>
    <col min="10205" max="10205" width="11.88671875" style="3" bestFit="1" customWidth="1"/>
    <col min="10206" max="10206" width="9.88671875" style="3" bestFit="1" customWidth="1"/>
    <col min="10207" max="10207" width="10" style="3" bestFit="1" customWidth="1"/>
    <col min="10208" max="10208" width="10.109375" style="3" bestFit="1" customWidth="1"/>
    <col min="10209" max="10209" width="10.88671875" style="3" bestFit="1" customWidth="1"/>
    <col min="10210" max="10210" width="9.109375" style="3" bestFit="1" customWidth="1"/>
    <col min="10211" max="10211" width="8.88671875" style="3" bestFit="1" customWidth="1"/>
    <col min="10212" max="10214" width="9.109375" style="3" bestFit="1" customWidth="1"/>
    <col min="10215" max="10215" width="8.88671875" style="3" bestFit="1" customWidth="1"/>
    <col min="10216" max="10216" width="9.88671875" style="3" customWidth="1"/>
    <col min="10217" max="10217" width="9.109375" style="3" bestFit="1" customWidth="1"/>
    <col min="10218" max="10218" width="9.88671875" style="3" customWidth="1"/>
    <col min="10219" max="10220" width="10" style="3" customWidth="1"/>
    <col min="10221" max="10221" width="9.109375" style="3" bestFit="1" customWidth="1"/>
    <col min="10222" max="10459" width="11.44140625" style="3"/>
    <col min="10460" max="10460" width="36" style="3" bestFit="1" customWidth="1"/>
    <col min="10461" max="10461" width="11.88671875" style="3" bestFit="1" customWidth="1"/>
    <col min="10462" max="10462" width="9.88671875" style="3" bestFit="1" customWidth="1"/>
    <col min="10463" max="10463" width="10" style="3" bestFit="1" customWidth="1"/>
    <col min="10464" max="10464" width="10.109375" style="3" bestFit="1" customWidth="1"/>
    <col min="10465" max="10465" width="10.88671875" style="3" bestFit="1" customWidth="1"/>
    <col min="10466" max="10466" width="9.109375" style="3" bestFit="1" customWidth="1"/>
    <col min="10467" max="10467" width="8.88671875" style="3" bestFit="1" customWidth="1"/>
    <col min="10468" max="10470" width="9.109375" style="3" bestFit="1" customWidth="1"/>
    <col min="10471" max="10471" width="8.88671875" style="3" bestFit="1" customWidth="1"/>
    <col min="10472" max="10472" width="9.88671875" style="3" customWidth="1"/>
    <col min="10473" max="10473" width="9.109375" style="3" bestFit="1" customWidth="1"/>
    <col min="10474" max="10474" width="9.88671875" style="3" customWidth="1"/>
    <col min="10475" max="10476" width="10" style="3" customWidth="1"/>
    <col min="10477" max="10477" width="9.109375" style="3" bestFit="1" customWidth="1"/>
    <col min="10478" max="10715" width="11.44140625" style="3"/>
    <col min="10716" max="10716" width="36" style="3" bestFit="1" customWidth="1"/>
    <col min="10717" max="10717" width="11.88671875" style="3" bestFit="1" customWidth="1"/>
    <col min="10718" max="10718" width="9.88671875" style="3" bestFit="1" customWidth="1"/>
    <col min="10719" max="10719" width="10" style="3" bestFit="1" customWidth="1"/>
    <col min="10720" max="10720" width="10.109375" style="3" bestFit="1" customWidth="1"/>
    <col min="10721" max="10721" width="10.88671875" style="3" bestFit="1" customWidth="1"/>
    <col min="10722" max="10722" width="9.109375" style="3" bestFit="1" customWidth="1"/>
    <col min="10723" max="10723" width="8.88671875" style="3" bestFit="1" customWidth="1"/>
    <col min="10724" max="10726" width="9.109375" style="3" bestFit="1" customWidth="1"/>
    <col min="10727" max="10727" width="8.88671875" style="3" bestFit="1" customWidth="1"/>
    <col min="10728" max="10728" width="9.88671875" style="3" customWidth="1"/>
    <col min="10729" max="10729" width="9.109375" style="3" bestFit="1" customWidth="1"/>
    <col min="10730" max="10730" width="9.88671875" style="3" customWidth="1"/>
    <col min="10731" max="10732" width="10" style="3" customWidth="1"/>
    <col min="10733" max="10733" width="9.109375" style="3" bestFit="1" customWidth="1"/>
    <col min="10734" max="10971" width="11.44140625" style="3"/>
    <col min="10972" max="10972" width="36" style="3" bestFit="1" customWidth="1"/>
    <col min="10973" max="10973" width="11.88671875" style="3" bestFit="1" customWidth="1"/>
    <col min="10974" max="10974" width="9.88671875" style="3" bestFit="1" customWidth="1"/>
    <col min="10975" max="10975" width="10" style="3" bestFit="1" customWidth="1"/>
    <col min="10976" max="10976" width="10.109375" style="3" bestFit="1" customWidth="1"/>
    <col min="10977" max="10977" width="10.88671875" style="3" bestFit="1" customWidth="1"/>
    <col min="10978" max="10978" width="9.109375" style="3" bestFit="1" customWidth="1"/>
    <col min="10979" max="10979" width="8.88671875" style="3" bestFit="1" customWidth="1"/>
    <col min="10980" max="10982" width="9.109375" style="3" bestFit="1" customWidth="1"/>
    <col min="10983" max="10983" width="8.88671875" style="3" bestFit="1" customWidth="1"/>
    <col min="10984" max="10984" width="9.88671875" style="3" customWidth="1"/>
    <col min="10985" max="10985" width="9.109375" style="3" bestFit="1" customWidth="1"/>
    <col min="10986" max="10986" width="9.88671875" style="3" customWidth="1"/>
    <col min="10987" max="10988" width="10" style="3" customWidth="1"/>
    <col min="10989" max="10989" width="9.109375" style="3" bestFit="1" customWidth="1"/>
    <col min="10990" max="11227" width="11.44140625" style="3"/>
    <col min="11228" max="11228" width="36" style="3" bestFit="1" customWidth="1"/>
    <col min="11229" max="11229" width="11.88671875" style="3" bestFit="1" customWidth="1"/>
    <col min="11230" max="11230" width="9.88671875" style="3" bestFit="1" customWidth="1"/>
    <col min="11231" max="11231" width="10" style="3" bestFit="1" customWidth="1"/>
    <col min="11232" max="11232" width="10.109375" style="3" bestFit="1" customWidth="1"/>
    <col min="11233" max="11233" width="10.88671875" style="3" bestFit="1" customWidth="1"/>
    <col min="11234" max="11234" width="9.109375" style="3" bestFit="1" customWidth="1"/>
    <col min="11235" max="11235" width="8.88671875" style="3" bestFit="1" customWidth="1"/>
    <col min="11236" max="11238" width="9.109375" style="3" bestFit="1" customWidth="1"/>
    <col min="11239" max="11239" width="8.88671875" style="3" bestFit="1" customWidth="1"/>
    <col min="11240" max="11240" width="9.88671875" style="3" customWidth="1"/>
    <col min="11241" max="11241" width="9.109375" style="3" bestFit="1" customWidth="1"/>
    <col min="11242" max="11242" width="9.88671875" style="3" customWidth="1"/>
    <col min="11243" max="11244" width="10" style="3" customWidth="1"/>
    <col min="11245" max="11245" width="9.109375" style="3" bestFit="1" customWidth="1"/>
    <col min="11246" max="11483" width="11.44140625" style="3"/>
    <col min="11484" max="11484" width="36" style="3" bestFit="1" customWidth="1"/>
    <col min="11485" max="11485" width="11.88671875" style="3" bestFit="1" customWidth="1"/>
    <col min="11486" max="11486" width="9.88671875" style="3" bestFit="1" customWidth="1"/>
    <col min="11487" max="11487" width="10" style="3" bestFit="1" customWidth="1"/>
    <col min="11488" max="11488" width="10.109375" style="3" bestFit="1" customWidth="1"/>
    <col min="11489" max="11489" width="10.88671875" style="3" bestFit="1" customWidth="1"/>
    <col min="11490" max="11490" width="9.109375" style="3" bestFit="1" customWidth="1"/>
    <col min="11491" max="11491" width="8.88671875" style="3" bestFit="1" customWidth="1"/>
    <col min="11492" max="11494" width="9.109375" style="3" bestFit="1" customWidth="1"/>
    <col min="11495" max="11495" width="8.88671875" style="3" bestFit="1" customWidth="1"/>
    <col min="11496" max="11496" width="9.88671875" style="3" customWidth="1"/>
    <col min="11497" max="11497" width="9.109375" style="3" bestFit="1" customWidth="1"/>
    <col min="11498" max="11498" width="9.88671875" style="3" customWidth="1"/>
    <col min="11499" max="11500" width="10" style="3" customWidth="1"/>
    <col min="11501" max="11501" width="9.109375" style="3" bestFit="1" customWidth="1"/>
    <col min="11502" max="11739" width="11.44140625" style="3"/>
    <col min="11740" max="11740" width="36" style="3" bestFit="1" customWidth="1"/>
    <col min="11741" max="11741" width="11.88671875" style="3" bestFit="1" customWidth="1"/>
    <col min="11742" max="11742" width="9.88671875" style="3" bestFit="1" customWidth="1"/>
    <col min="11743" max="11743" width="10" style="3" bestFit="1" customWidth="1"/>
    <col min="11744" max="11744" width="10.109375" style="3" bestFit="1" customWidth="1"/>
    <col min="11745" max="11745" width="10.88671875" style="3" bestFit="1" customWidth="1"/>
    <col min="11746" max="11746" width="9.109375" style="3" bestFit="1" customWidth="1"/>
    <col min="11747" max="11747" width="8.88671875" style="3" bestFit="1" customWidth="1"/>
    <col min="11748" max="11750" width="9.109375" style="3" bestFit="1" customWidth="1"/>
    <col min="11751" max="11751" width="8.88671875" style="3" bestFit="1" customWidth="1"/>
    <col min="11752" max="11752" width="9.88671875" style="3" customWidth="1"/>
    <col min="11753" max="11753" width="9.109375" style="3" bestFit="1" customWidth="1"/>
    <col min="11754" max="11754" width="9.88671875" style="3" customWidth="1"/>
    <col min="11755" max="11756" width="10" style="3" customWidth="1"/>
    <col min="11757" max="11757" width="9.109375" style="3" bestFit="1" customWidth="1"/>
    <col min="11758" max="11995" width="11.44140625" style="3"/>
    <col min="11996" max="11996" width="36" style="3" bestFit="1" customWidth="1"/>
    <col min="11997" max="11997" width="11.88671875" style="3" bestFit="1" customWidth="1"/>
    <col min="11998" max="11998" width="9.88671875" style="3" bestFit="1" customWidth="1"/>
    <col min="11999" max="11999" width="10" style="3" bestFit="1" customWidth="1"/>
    <col min="12000" max="12000" width="10.109375" style="3" bestFit="1" customWidth="1"/>
    <col min="12001" max="12001" width="10.88671875" style="3" bestFit="1" customWidth="1"/>
    <col min="12002" max="12002" width="9.109375" style="3" bestFit="1" customWidth="1"/>
    <col min="12003" max="12003" width="8.88671875" style="3" bestFit="1" customWidth="1"/>
    <col min="12004" max="12006" width="9.109375" style="3" bestFit="1" customWidth="1"/>
    <col min="12007" max="12007" width="8.88671875" style="3" bestFit="1" customWidth="1"/>
    <col min="12008" max="12008" width="9.88671875" style="3" customWidth="1"/>
    <col min="12009" max="12009" width="9.109375" style="3" bestFit="1" customWidth="1"/>
    <col min="12010" max="12010" width="9.88671875" style="3" customWidth="1"/>
    <col min="12011" max="12012" width="10" style="3" customWidth="1"/>
    <col min="12013" max="12013" width="9.109375" style="3" bestFit="1" customWidth="1"/>
    <col min="12014" max="12251" width="11.44140625" style="3"/>
    <col min="12252" max="12252" width="36" style="3" bestFit="1" customWidth="1"/>
    <col min="12253" max="12253" width="11.88671875" style="3" bestFit="1" customWidth="1"/>
    <col min="12254" max="12254" width="9.88671875" style="3" bestFit="1" customWidth="1"/>
    <col min="12255" max="12255" width="10" style="3" bestFit="1" customWidth="1"/>
    <col min="12256" max="12256" width="10.109375" style="3" bestFit="1" customWidth="1"/>
    <col min="12257" max="12257" width="10.88671875" style="3" bestFit="1" customWidth="1"/>
    <col min="12258" max="12258" width="9.109375" style="3" bestFit="1" customWidth="1"/>
    <col min="12259" max="12259" width="8.88671875" style="3" bestFit="1" customWidth="1"/>
    <col min="12260" max="12262" width="9.109375" style="3" bestFit="1" customWidth="1"/>
    <col min="12263" max="12263" width="8.88671875" style="3" bestFit="1" customWidth="1"/>
    <col min="12264" max="12264" width="9.88671875" style="3" customWidth="1"/>
    <col min="12265" max="12265" width="9.109375" style="3" bestFit="1" customWidth="1"/>
    <col min="12266" max="12266" width="9.88671875" style="3" customWidth="1"/>
    <col min="12267" max="12268" width="10" style="3" customWidth="1"/>
    <col min="12269" max="12269" width="9.109375" style="3" bestFit="1" customWidth="1"/>
    <col min="12270" max="12507" width="11.44140625" style="3"/>
    <col min="12508" max="12508" width="36" style="3" bestFit="1" customWidth="1"/>
    <col min="12509" max="12509" width="11.88671875" style="3" bestFit="1" customWidth="1"/>
    <col min="12510" max="12510" width="9.88671875" style="3" bestFit="1" customWidth="1"/>
    <col min="12511" max="12511" width="10" style="3" bestFit="1" customWidth="1"/>
    <col min="12512" max="12512" width="10.109375" style="3" bestFit="1" customWidth="1"/>
    <col min="12513" max="12513" width="10.88671875" style="3" bestFit="1" customWidth="1"/>
    <col min="12514" max="12514" width="9.109375" style="3" bestFit="1" customWidth="1"/>
    <col min="12515" max="12515" width="8.88671875" style="3" bestFit="1" customWidth="1"/>
    <col min="12516" max="12518" width="9.109375" style="3" bestFit="1" customWidth="1"/>
    <col min="12519" max="12519" width="8.88671875" style="3" bestFit="1" customWidth="1"/>
    <col min="12520" max="12520" width="9.88671875" style="3" customWidth="1"/>
    <col min="12521" max="12521" width="9.109375" style="3" bestFit="1" customWidth="1"/>
    <col min="12522" max="12522" width="9.88671875" style="3" customWidth="1"/>
    <col min="12523" max="12524" width="10" style="3" customWidth="1"/>
    <col min="12525" max="12525" width="9.109375" style="3" bestFit="1" customWidth="1"/>
    <col min="12526" max="12763" width="11.44140625" style="3"/>
    <col min="12764" max="12764" width="36" style="3" bestFit="1" customWidth="1"/>
    <col min="12765" max="12765" width="11.88671875" style="3" bestFit="1" customWidth="1"/>
    <col min="12766" max="12766" width="9.88671875" style="3" bestFit="1" customWidth="1"/>
    <col min="12767" max="12767" width="10" style="3" bestFit="1" customWidth="1"/>
    <col min="12768" max="12768" width="10.109375" style="3" bestFit="1" customWidth="1"/>
    <col min="12769" max="12769" width="10.88671875" style="3" bestFit="1" customWidth="1"/>
    <col min="12770" max="12770" width="9.109375" style="3" bestFit="1" customWidth="1"/>
    <col min="12771" max="12771" width="8.88671875" style="3" bestFit="1" customWidth="1"/>
    <col min="12772" max="12774" width="9.109375" style="3" bestFit="1" customWidth="1"/>
    <col min="12775" max="12775" width="8.88671875" style="3" bestFit="1" customWidth="1"/>
    <col min="12776" max="12776" width="9.88671875" style="3" customWidth="1"/>
    <col min="12777" max="12777" width="9.109375" style="3" bestFit="1" customWidth="1"/>
    <col min="12778" max="12778" width="9.88671875" style="3" customWidth="1"/>
    <col min="12779" max="12780" width="10" style="3" customWidth="1"/>
    <col min="12781" max="12781" width="9.109375" style="3" bestFit="1" customWidth="1"/>
    <col min="12782" max="13019" width="11.44140625" style="3"/>
    <col min="13020" max="13020" width="36" style="3" bestFit="1" customWidth="1"/>
    <col min="13021" max="13021" width="11.88671875" style="3" bestFit="1" customWidth="1"/>
    <col min="13022" max="13022" width="9.88671875" style="3" bestFit="1" customWidth="1"/>
    <col min="13023" max="13023" width="10" style="3" bestFit="1" customWidth="1"/>
    <col min="13024" max="13024" width="10.109375" style="3" bestFit="1" customWidth="1"/>
    <col min="13025" max="13025" width="10.88671875" style="3" bestFit="1" customWidth="1"/>
    <col min="13026" max="13026" width="9.109375" style="3" bestFit="1" customWidth="1"/>
    <col min="13027" max="13027" width="8.88671875" style="3" bestFit="1" customWidth="1"/>
    <col min="13028" max="13030" width="9.109375" style="3" bestFit="1" customWidth="1"/>
    <col min="13031" max="13031" width="8.88671875" style="3" bestFit="1" customWidth="1"/>
    <col min="13032" max="13032" width="9.88671875" style="3" customWidth="1"/>
    <col min="13033" max="13033" width="9.109375" style="3" bestFit="1" customWidth="1"/>
    <col min="13034" max="13034" width="9.88671875" style="3" customWidth="1"/>
    <col min="13035" max="13036" width="10" style="3" customWidth="1"/>
    <col min="13037" max="13037" width="9.109375" style="3" bestFit="1" customWidth="1"/>
    <col min="13038" max="13275" width="11.44140625" style="3"/>
    <col min="13276" max="13276" width="36" style="3" bestFit="1" customWidth="1"/>
    <col min="13277" max="13277" width="11.88671875" style="3" bestFit="1" customWidth="1"/>
    <col min="13278" max="13278" width="9.88671875" style="3" bestFit="1" customWidth="1"/>
    <col min="13279" max="13279" width="10" style="3" bestFit="1" customWidth="1"/>
    <col min="13280" max="13280" width="10.109375" style="3" bestFit="1" customWidth="1"/>
    <col min="13281" max="13281" width="10.88671875" style="3" bestFit="1" customWidth="1"/>
    <col min="13282" max="13282" width="9.109375" style="3" bestFit="1" customWidth="1"/>
    <col min="13283" max="13283" width="8.88671875" style="3" bestFit="1" customWidth="1"/>
    <col min="13284" max="13286" width="9.109375" style="3" bestFit="1" customWidth="1"/>
    <col min="13287" max="13287" width="8.88671875" style="3" bestFit="1" customWidth="1"/>
    <col min="13288" max="13288" width="9.88671875" style="3" customWidth="1"/>
    <col min="13289" max="13289" width="9.109375" style="3" bestFit="1" customWidth="1"/>
    <col min="13290" max="13290" width="9.88671875" style="3" customWidth="1"/>
    <col min="13291" max="13292" width="10" style="3" customWidth="1"/>
    <col min="13293" max="13293" width="9.109375" style="3" bestFit="1" customWidth="1"/>
    <col min="13294" max="13531" width="11.44140625" style="3"/>
    <col min="13532" max="13532" width="36" style="3" bestFit="1" customWidth="1"/>
    <col min="13533" max="13533" width="11.88671875" style="3" bestFit="1" customWidth="1"/>
    <col min="13534" max="13534" width="9.88671875" style="3" bestFit="1" customWidth="1"/>
    <col min="13535" max="13535" width="10" style="3" bestFit="1" customWidth="1"/>
    <col min="13536" max="13536" width="10.109375" style="3" bestFit="1" customWidth="1"/>
    <col min="13537" max="13537" width="10.88671875" style="3" bestFit="1" customWidth="1"/>
    <col min="13538" max="13538" width="9.109375" style="3" bestFit="1" customWidth="1"/>
    <col min="13539" max="13539" width="8.88671875" style="3" bestFit="1" customWidth="1"/>
    <col min="13540" max="13542" width="9.109375" style="3" bestFit="1" customWidth="1"/>
    <col min="13543" max="13543" width="8.88671875" style="3" bestFit="1" customWidth="1"/>
    <col min="13544" max="13544" width="9.88671875" style="3" customWidth="1"/>
    <col min="13545" max="13545" width="9.109375" style="3" bestFit="1" customWidth="1"/>
    <col min="13546" max="13546" width="9.88671875" style="3" customWidth="1"/>
    <col min="13547" max="13548" width="10" style="3" customWidth="1"/>
    <col min="13549" max="13549" width="9.109375" style="3" bestFit="1" customWidth="1"/>
    <col min="13550" max="13787" width="11.44140625" style="3"/>
    <col min="13788" max="13788" width="36" style="3" bestFit="1" customWidth="1"/>
    <col min="13789" max="13789" width="11.88671875" style="3" bestFit="1" customWidth="1"/>
    <col min="13790" max="13790" width="9.88671875" style="3" bestFit="1" customWidth="1"/>
    <col min="13791" max="13791" width="10" style="3" bestFit="1" customWidth="1"/>
    <col min="13792" max="13792" width="10.109375" style="3" bestFit="1" customWidth="1"/>
    <col min="13793" max="13793" width="10.88671875" style="3" bestFit="1" customWidth="1"/>
    <col min="13794" max="13794" width="9.109375" style="3" bestFit="1" customWidth="1"/>
    <col min="13795" max="13795" width="8.88671875" style="3" bestFit="1" customWidth="1"/>
    <col min="13796" max="13798" width="9.109375" style="3" bestFit="1" customWidth="1"/>
    <col min="13799" max="13799" width="8.88671875" style="3" bestFit="1" customWidth="1"/>
    <col min="13800" max="13800" width="9.88671875" style="3" customWidth="1"/>
    <col min="13801" max="13801" width="9.109375" style="3" bestFit="1" customWidth="1"/>
    <col min="13802" max="13802" width="9.88671875" style="3" customWidth="1"/>
    <col min="13803" max="13804" width="10" style="3" customWidth="1"/>
    <col min="13805" max="13805" width="9.109375" style="3" bestFit="1" customWidth="1"/>
    <col min="13806" max="14043" width="11.44140625" style="3"/>
    <col min="14044" max="14044" width="36" style="3" bestFit="1" customWidth="1"/>
    <col min="14045" max="14045" width="11.88671875" style="3" bestFit="1" customWidth="1"/>
    <col min="14046" max="14046" width="9.88671875" style="3" bestFit="1" customWidth="1"/>
    <col min="14047" max="14047" width="10" style="3" bestFit="1" customWidth="1"/>
    <col min="14048" max="14048" width="10.109375" style="3" bestFit="1" customWidth="1"/>
    <col min="14049" max="14049" width="10.88671875" style="3" bestFit="1" customWidth="1"/>
    <col min="14050" max="14050" width="9.109375" style="3" bestFit="1" customWidth="1"/>
    <col min="14051" max="14051" width="8.88671875" style="3" bestFit="1" customWidth="1"/>
    <col min="14052" max="14054" width="9.109375" style="3" bestFit="1" customWidth="1"/>
    <col min="14055" max="14055" width="8.88671875" style="3" bestFit="1" customWidth="1"/>
    <col min="14056" max="14056" width="9.88671875" style="3" customWidth="1"/>
    <col min="14057" max="14057" width="9.109375" style="3" bestFit="1" customWidth="1"/>
    <col min="14058" max="14058" width="9.88671875" style="3" customWidth="1"/>
    <col min="14059" max="14060" width="10" style="3" customWidth="1"/>
    <col min="14061" max="14061" width="9.109375" style="3" bestFit="1" customWidth="1"/>
    <col min="14062" max="14299" width="11.44140625" style="3"/>
    <col min="14300" max="14300" width="36" style="3" bestFit="1" customWidth="1"/>
    <col min="14301" max="14301" width="11.88671875" style="3" bestFit="1" customWidth="1"/>
    <col min="14302" max="14302" width="9.88671875" style="3" bestFit="1" customWidth="1"/>
    <col min="14303" max="14303" width="10" style="3" bestFit="1" customWidth="1"/>
    <col min="14304" max="14304" width="10.109375" style="3" bestFit="1" customWidth="1"/>
    <col min="14305" max="14305" width="10.88671875" style="3" bestFit="1" customWidth="1"/>
    <col min="14306" max="14306" width="9.109375" style="3" bestFit="1" customWidth="1"/>
    <col min="14307" max="14307" width="8.88671875" style="3" bestFit="1" customWidth="1"/>
    <col min="14308" max="14310" width="9.109375" style="3" bestFit="1" customWidth="1"/>
    <col min="14311" max="14311" width="8.88671875" style="3" bestFit="1" customWidth="1"/>
    <col min="14312" max="14312" width="9.88671875" style="3" customWidth="1"/>
    <col min="14313" max="14313" width="9.109375" style="3" bestFit="1" customWidth="1"/>
    <col min="14314" max="14314" width="9.88671875" style="3" customWidth="1"/>
    <col min="14315" max="14316" width="10" style="3" customWidth="1"/>
    <col min="14317" max="14317" width="9.109375" style="3" bestFit="1" customWidth="1"/>
    <col min="14318" max="14555" width="11.44140625" style="3"/>
    <col min="14556" max="14556" width="36" style="3" bestFit="1" customWidth="1"/>
    <col min="14557" max="14557" width="11.88671875" style="3" bestFit="1" customWidth="1"/>
    <col min="14558" max="14558" width="9.88671875" style="3" bestFit="1" customWidth="1"/>
    <col min="14559" max="14559" width="10" style="3" bestFit="1" customWidth="1"/>
    <col min="14560" max="14560" width="10.109375" style="3" bestFit="1" customWidth="1"/>
    <col min="14561" max="14561" width="10.88671875" style="3" bestFit="1" customWidth="1"/>
    <col min="14562" max="14562" width="9.109375" style="3" bestFit="1" customWidth="1"/>
    <col min="14563" max="14563" width="8.88671875" style="3" bestFit="1" customWidth="1"/>
    <col min="14564" max="14566" width="9.109375" style="3" bestFit="1" customWidth="1"/>
    <col min="14567" max="14567" width="8.88671875" style="3" bestFit="1" customWidth="1"/>
    <col min="14568" max="14568" width="9.88671875" style="3" customWidth="1"/>
    <col min="14569" max="14569" width="9.109375" style="3" bestFit="1" customWidth="1"/>
    <col min="14570" max="14570" width="9.88671875" style="3" customWidth="1"/>
    <col min="14571" max="14572" width="10" style="3" customWidth="1"/>
    <col min="14573" max="14573" width="9.109375" style="3" bestFit="1" customWidth="1"/>
    <col min="14574" max="14811" width="11.44140625" style="3"/>
    <col min="14812" max="14812" width="36" style="3" bestFit="1" customWidth="1"/>
    <col min="14813" max="14813" width="11.88671875" style="3" bestFit="1" customWidth="1"/>
    <col min="14814" max="14814" width="9.88671875" style="3" bestFit="1" customWidth="1"/>
    <col min="14815" max="14815" width="10" style="3" bestFit="1" customWidth="1"/>
    <col min="14816" max="14816" width="10.109375" style="3" bestFit="1" customWidth="1"/>
    <col min="14817" max="14817" width="10.88671875" style="3" bestFit="1" customWidth="1"/>
    <col min="14818" max="14818" width="9.109375" style="3" bestFit="1" customWidth="1"/>
    <col min="14819" max="14819" width="8.88671875" style="3" bestFit="1" customWidth="1"/>
    <col min="14820" max="14822" width="9.109375" style="3" bestFit="1" customWidth="1"/>
    <col min="14823" max="14823" width="8.88671875" style="3" bestFit="1" customWidth="1"/>
    <col min="14824" max="14824" width="9.88671875" style="3" customWidth="1"/>
    <col min="14825" max="14825" width="9.109375" style="3" bestFit="1" customWidth="1"/>
    <col min="14826" max="14826" width="9.88671875" style="3" customWidth="1"/>
    <col min="14827" max="14828" width="10" style="3" customWidth="1"/>
    <col min="14829" max="14829" width="9.109375" style="3" bestFit="1" customWidth="1"/>
    <col min="14830" max="15067" width="11.44140625" style="3"/>
    <col min="15068" max="15068" width="36" style="3" bestFit="1" customWidth="1"/>
    <col min="15069" max="15069" width="11.88671875" style="3" bestFit="1" customWidth="1"/>
    <col min="15070" max="15070" width="9.88671875" style="3" bestFit="1" customWidth="1"/>
    <col min="15071" max="15071" width="10" style="3" bestFit="1" customWidth="1"/>
    <col min="15072" max="15072" width="10.109375" style="3" bestFit="1" customWidth="1"/>
    <col min="15073" max="15073" width="10.88671875" style="3" bestFit="1" customWidth="1"/>
    <col min="15074" max="15074" width="9.109375" style="3" bestFit="1" customWidth="1"/>
    <col min="15075" max="15075" width="8.88671875" style="3" bestFit="1" customWidth="1"/>
    <col min="15076" max="15078" width="9.109375" style="3" bestFit="1" customWidth="1"/>
    <col min="15079" max="15079" width="8.88671875" style="3" bestFit="1" customWidth="1"/>
    <col min="15080" max="15080" width="9.88671875" style="3" customWidth="1"/>
    <col min="15081" max="15081" width="9.109375" style="3" bestFit="1" customWidth="1"/>
    <col min="15082" max="15082" width="9.88671875" style="3" customWidth="1"/>
    <col min="15083" max="15084" width="10" style="3" customWidth="1"/>
    <col min="15085" max="15085" width="9.109375" style="3" bestFit="1" customWidth="1"/>
    <col min="15086" max="15323" width="11.44140625" style="3"/>
    <col min="15324" max="15324" width="36" style="3" bestFit="1" customWidth="1"/>
    <col min="15325" max="15325" width="11.88671875" style="3" bestFit="1" customWidth="1"/>
    <col min="15326" max="15326" width="9.88671875" style="3" bestFit="1" customWidth="1"/>
    <col min="15327" max="15327" width="10" style="3" bestFit="1" customWidth="1"/>
    <col min="15328" max="15328" width="10.109375" style="3" bestFit="1" customWidth="1"/>
    <col min="15329" max="15329" width="10.88671875" style="3" bestFit="1" customWidth="1"/>
    <col min="15330" max="15330" width="9.109375" style="3" bestFit="1" customWidth="1"/>
    <col min="15331" max="15331" width="8.88671875" style="3" bestFit="1" customWidth="1"/>
    <col min="15332" max="15334" width="9.109375" style="3" bestFit="1" customWidth="1"/>
    <col min="15335" max="15335" width="8.88671875" style="3" bestFit="1" customWidth="1"/>
    <col min="15336" max="15336" width="9.88671875" style="3" customWidth="1"/>
    <col min="15337" max="15337" width="9.109375" style="3" bestFit="1" customWidth="1"/>
    <col min="15338" max="15338" width="9.88671875" style="3" customWidth="1"/>
    <col min="15339" max="15340" width="10" style="3" customWidth="1"/>
    <col min="15341" max="15341" width="9.109375" style="3" bestFit="1" customWidth="1"/>
    <col min="15342" max="15579" width="11.44140625" style="3"/>
    <col min="15580" max="15580" width="36" style="3" bestFit="1" customWidth="1"/>
    <col min="15581" max="15581" width="11.88671875" style="3" bestFit="1" customWidth="1"/>
    <col min="15582" max="15582" width="9.88671875" style="3" bestFit="1" customWidth="1"/>
    <col min="15583" max="15583" width="10" style="3" bestFit="1" customWidth="1"/>
    <col min="15584" max="15584" width="10.109375" style="3" bestFit="1" customWidth="1"/>
    <col min="15585" max="15585" width="10.88671875" style="3" bestFit="1" customWidth="1"/>
    <col min="15586" max="15586" width="9.109375" style="3" bestFit="1" customWidth="1"/>
    <col min="15587" max="15587" width="8.88671875" style="3" bestFit="1" customWidth="1"/>
    <col min="15588" max="15590" width="9.109375" style="3" bestFit="1" customWidth="1"/>
    <col min="15591" max="15591" width="8.88671875" style="3" bestFit="1" customWidth="1"/>
    <col min="15592" max="15592" width="9.88671875" style="3" customWidth="1"/>
    <col min="15593" max="15593" width="9.109375" style="3" bestFit="1" customWidth="1"/>
    <col min="15594" max="15594" width="9.88671875" style="3" customWidth="1"/>
    <col min="15595" max="15596" width="10" style="3" customWidth="1"/>
    <col min="15597" max="15597" width="9.109375" style="3" bestFit="1" customWidth="1"/>
    <col min="15598" max="15835" width="11.44140625" style="3"/>
    <col min="15836" max="15836" width="36" style="3" bestFit="1" customWidth="1"/>
    <col min="15837" max="15837" width="11.88671875" style="3" bestFit="1" customWidth="1"/>
    <col min="15838" max="15838" width="9.88671875" style="3" bestFit="1" customWidth="1"/>
    <col min="15839" max="15839" width="10" style="3" bestFit="1" customWidth="1"/>
    <col min="15840" max="15840" width="10.109375" style="3" bestFit="1" customWidth="1"/>
    <col min="15841" max="15841" width="10.88671875" style="3" bestFit="1" customWidth="1"/>
    <col min="15842" max="15842" width="9.109375" style="3" bestFit="1" customWidth="1"/>
    <col min="15843" max="15843" width="8.88671875" style="3" bestFit="1" customWidth="1"/>
    <col min="15844" max="15846" width="9.109375" style="3" bestFit="1" customWidth="1"/>
    <col min="15847" max="15847" width="8.88671875" style="3" bestFit="1" customWidth="1"/>
    <col min="15848" max="15848" width="9.88671875" style="3" customWidth="1"/>
    <col min="15849" max="15849" width="9.109375" style="3" bestFit="1" customWidth="1"/>
    <col min="15850" max="15850" width="9.88671875" style="3" customWidth="1"/>
    <col min="15851" max="15852" width="10" style="3" customWidth="1"/>
    <col min="15853" max="15853" width="9.109375" style="3" bestFit="1" customWidth="1"/>
    <col min="15854" max="16090" width="11.44140625" style="3"/>
    <col min="16091" max="16091" width="9.88671875" style="3" bestFit="1" customWidth="1"/>
    <col min="16092" max="16092" width="10" style="3" bestFit="1" customWidth="1"/>
    <col min="16093" max="16093" width="10.109375" style="3" bestFit="1" customWidth="1"/>
    <col min="16094" max="16094" width="10.88671875" style="3" bestFit="1" customWidth="1"/>
    <col min="16095" max="16095" width="9.109375" style="3" bestFit="1" customWidth="1"/>
    <col min="16096" max="16096" width="8.88671875" style="3" bestFit="1" customWidth="1"/>
    <col min="16097" max="16099" width="9.109375" style="3" bestFit="1" customWidth="1"/>
    <col min="16100" max="16100" width="8.88671875" style="3" bestFit="1" customWidth="1"/>
    <col min="16101" max="16101" width="9.88671875" style="3" customWidth="1"/>
    <col min="16102" max="16102" width="9.109375" style="3" bestFit="1" customWidth="1"/>
    <col min="16103" max="16103" width="9.88671875" style="3" customWidth="1"/>
    <col min="16104" max="16105" width="10" style="3" customWidth="1"/>
    <col min="16106" max="16106" width="9.109375" style="3" bestFit="1" customWidth="1"/>
    <col min="16107" max="16384" width="11.44140625" style="3"/>
  </cols>
  <sheetData>
    <row r="1" spans="1:26" s="2" customFormat="1" ht="17.100000000000001" customHeight="1" x14ac:dyDescent="0.2">
      <c r="A1" s="1" t="s">
        <v>47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ht="14.4" x14ac:dyDescent="0.2">
      <c r="A2" s="18" t="s">
        <v>17</v>
      </c>
      <c r="B2" s="82">
        <v>5297</v>
      </c>
      <c r="C2" s="82">
        <f>B33</f>
        <v>9007.3539842835198</v>
      </c>
      <c r="D2" s="82">
        <f t="shared" ref="D2:N2" si="0">C33</f>
        <v>970.11401264363667</v>
      </c>
      <c r="E2" s="82">
        <f t="shared" si="0"/>
        <v>69128.378897873175</v>
      </c>
      <c r="F2" s="82">
        <f t="shared" si="0"/>
        <v>61973.066677937182</v>
      </c>
      <c r="G2" s="82">
        <f t="shared" si="0"/>
        <v>3377.1198957684828</v>
      </c>
      <c r="H2" s="82">
        <f t="shared" si="0"/>
        <v>3199.7224747239125</v>
      </c>
      <c r="I2" s="82">
        <f t="shared" si="0"/>
        <v>36410.411294655423</v>
      </c>
      <c r="J2" s="82">
        <f t="shared" si="0"/>
        <v>9217.3930356614001</v>
      </c>
      <c r="K2" s="82">
        <f t="shared" si="0"/>
        <v>49978.599445284752</v>
      </c>
      <c r="L2" s="82">
        <f t="shared" si="0"/>
        <v>32938.589097162141</v>
      </c>
      <c r="M2" s="82">
        <f t="shared" si="0"/>
        <v>51467.687001131359</v>
      </c>
      <c r="N2" s="82">
        <f t="shared" si="0"/>
        <v>106260.36872833429</v>
      </c>
      <c r="O2" s="57">
        <v>0</v>
      </c>
      <c r="P2" s="57">
        <v>0</v>
      </c>
      <c r="Q2" s="57">
        <v>0</v>
      </c>
      <c r="R2" s="57">
        <v>0</v>
      </c>
      <c r="S2" s="57">
        <v>0</v>
      </c>
      <c r="T2" s="57">
        <v>0</v>
      </c>
      <c r="U2" s="57">
        <v>0</v>
      </c>
      <c r="V2" s="57">
        <v>0</v>
      </c>
      <c r="W2" s="57">
        <v>0</v>
      </c>
      <c r="X2" s="57">
        <v>0</v>
      </c>
      <c r="Y2" s="57">
        <v>0</v>
      </c>
      <c r="Z2" s="57">
        <v>0</v>
      </c>
    </row>
    <row r="3" spans="1:26" s="2" customFormat="1" ht="14.4" x14ac:dyDescent="0.2">
      <c r="A3" s="19" t="s">
        <v>18</v>
      </c>
      <c r="B3" s="29">
        <f>Sales_Actual!B36</f>
        <v>135435.68620519497</v>
      </c>
      <c r="C3" s="29">
        <f>Sales_Actual!C36</f>
        <v>244562.49868600001</v>
      </c>
      <c r="D3" s="29">
        <f>Sales_Actual!D36</f>
        <v>321836.11647199997</v>
      </c>
      <c r="E3" s="29">
        <f>Sales_Actual!E36</f>
        <v>251700.584088</v>
      </c>
      <c r="F3" s="29">
        <f>Sales_Actual!F36</f>
        <v>216272.40496000004</v>
      </c>
      <c r="G3" s="29">
        <f>Sales_Actual!G36</f>
        <v>288852.44839999999</v>
      </c>
      <c r="H3" s="29">
        <f>Sales_Actual!H36</f>
        <v>319230.19959999999</v>
      </c>
      <c r="I3" s="29">
        <f>Sales_Actual!I36</f>
        <v>276102.00459999999</v>
      </c>
      <c r="J3" s="29">
        <f>Sales_Actual!J36</f>
        <v>202930.22502851766</v>
      </c>
      <c r="K3" s="29">
        <f>Sales_Actual!K36</f>
        <v>325847.1829512</v>
      </c>
      <c r="L3" s="29">
        <f>Sales_Actual!L36</f>
        <v>438334.63400043797</v>
      </c>
      <c r="M3" s="29">
        <f>Sales_Actual!M36</f>
        <v>285642.57159265963</v>
      </c>
      <c r="N3" s="29">
        <f>Sales_Actual!N36</f>
        <v>257525.83840000001</v>
      </c>
      <c r="O3" s="58">
        <f>Sales_Actual!O36</f>
        <v>0</v>
      </c>
      <c r="P3" s="58">
        <f>Sales_Actual!P36</f>
        <v>0</v>
      </c>
      <c r="Q3" s="58">
        <f>Sales_Actual!Q36</f>
        <v>0</v>
      </c>
      <c r="R3" s="58">
        <f>Sales_Actual!R36</f>
        <v>0</v>
      </c>
      <c r="S3" s="58">
        <f>Sales_Actual!S36</f>
        <v>0</v>
      </c>
      <c r="T3" s="58">
        <f>Sales_Actual!T36</f>
        <v>0</v>
      </c>
      <c r="U3" s="58">
        <f>Sales_Actual!U36</f>
        <v>0</v>
      </c>
      <c r="V3" s="58">
        <f>Sales_Actual!V36</f>
        <v>0</v>
      </c>
      <c r="W3" s="58">
        <f>Sales_Actual!W36</f>
        <v>0</v>
      </c>
      <c r="X3" s="58">
        <f>Sales_Actual!X36</f>
        <v>0</v>
      </c>
      <c r="Y3" s="58">
        <f>Sales_Actual!Y36</f>
        <v>0</v>
      </c>
      <c r="Z3" s="58">
        <f>Sales_Actual!Z36</f>
        <v>0</v>
      </c>
    </row>
    <row r="4" spans="1:26" ht="14.4" x14ac:dyDescent="0.2">
      <c r="A4" s="17" t="s">
        <v>19</v>
      </c>
      <c r="B4" s="28">
        <f>COGS_Actual!B36</f>
        <v>89468.322930507842</v>
      </c>
      <c r="C4" s="28">
        <f>COGS_Actual!C36</f>
        <v>168385.50683749345</v>
      </c>
      <c r="D4" s="28">
        <f>COGS_Actual!D36</f>
        <v>211331.00419095601</v>
      </c>
      <c r="E4" s="28">
        <f>COGS_Actual!E36</f>
        <v>160344.72898928096</v>
      </c>
      <c r="F4" s="28">
        <f>COGS_Actual!F36</f>
        <v>144339.06022485573</v>
      </c>
      <c r="G4" s="28">
        <f>COGS_Actual!G36</f>
        <v>191698.50191316073</v>
      </c>
      <c r="H4" s="28">
        <f>COGS_Actual!H36</f>
        <v>211024.60551697999</v>
      </c>
      <c r="I4" s="28">
        <f>COGS_Actual!I36</f>
        <v>189879.10080383945</v>
      </c>
      <c r="J4" s="28">
        <f>COGS_Actual!J36</f>
        <v>112030.2380929425</v>
      </c>
      <c r="K4" s="28">
        <f>COGS_Actual!K36</f>
        <v>205839.81494705111</v>
      </c>
      <c r="L4" s="28">
        <f>COGS_Actual!L36</f>
        <v>289710.15562223364</v>
      </c>
      <c r="M4" s="28">
        <f>COGS_Actual!M36</f>
        <v>188660.32394792029</v>
      </c>
      <c r="N4" s="28">
        <f>COGS_Actual!N36</f>
        <v>159476.15675481889</v>
      </c>
      <c r="O4" s="59">
        <f>COGS_Actual!O36</f>
        <v>0</v>
      </c>
      <c r="P4" s="59">
        <f>COGS_Actual!P36</f>
        <v>0</v>
      </c>
      <c r="Q4" s="59">
        <f>COGS_Actual!Q36</f>
        <v>0</v>
      </c>
      <c r="R4" s="59">
        <f>COGS_Actual!R36</f>
        <v>0</v>
      </c>
      <c r="S4" s="59">
        <f>COGS_Actual!S36</f>
        <v>0</v>
      </c>
      <c r="T4" s="59">
        <f>COGS_Actual!T36</f>
        <v>0</v>
      </c>
      <c r="U4" s="59">
        <f>COGS_Actual!U36</f>
        <v>0</v>
      </c>
      <c r="V4" s="59">
        <f>COGS_Actual!V36</f>
        <v>0</v>
      </c>
      <c r="W4" s="59">
        <f>COGS_Actual!W36</f>
        <v>0</v>
      </c>
      <c r="X4" s="59">
        <f>COGS_Actual!X36</f>
        <v>0</v>
      </c>
      <c r="Y4" s="59">
        <f>COGS_Actual!Y36</f>
        <v>0</v>
      </c>
      <c r="Z4" s="59">
        <f>COGS_Actual!Z36</f>
        <v>0</v>
      </c>
    </row>
    <row r="5" spans="1:26" ht="16.45" customHeight="1" x14ac:dyDescent="0.2">
      <c r="A5" s="19" t="s">
        <v>20</v>
      </c>
      <c r="B5" s="29">
        <f t="shared" ref="B5:N5" si="1">B3-B4</f>
        <v>45967.36327468713</v>
      </c>
      <c r="C5" s="29">
        <f t="shared" si="1"/>
        <v>76176.991848506557</v>
      </c>
      <c r="D5" s="29">
        <f t="shared" si="1"/>
        <v>110505.11228104396</v>
      </c>
      <c r="E5" s="29">
        <f t="shared" si="1"/>
        <v>91355.855098719039</v>
      </c>
      <c r="F5" s="29">
        <f t="shared" si="1"/>
        <v>71933.344735144317</v>
      </c>
      <c r="G5" s="29">
        <f t="shared" si="1"/>
        <v>97153.946486839268</v>
      </c>
      <c r="H5" s="29">
        <f t="shared" si="1"/>
        <v>108205.59408302</v>
      </c>
      <c r="I5" s="29">
        <f t="shared" si="1"/>
        <v>86222.903796160535</v>
      </c>
      <c r="J5" s="29">
        <f t="shared" si="1"/>
        <v>90899.986935575158</v>
      </c>
      <c r="K5" s="29">
        <f t="shared" si="1"/>
        <v>120007.36800414888</v>
      </c>
      <c r="L5" s="29">
        <f t="shared" si="1"/>
        <v>148624.47837820434</v>
      </c>
      <c r="M5" s="29">
        <f t="shared" si="1"/>
        <v>96982.247644739342</v>
      </c>
      <c r="N5" s="29">
        <f t="shared" si="1"/>
        <v>98049.681645181117</v>
      </c>
      <c r="O5" s="58">
        <f t="shared" ref="O5" si="2">O3-O4</f>
        <v>0</v>
      </c>
      <c r="P5" s="58">
        <f t="shared" ref="P5:Z5" si="3">P3-P4</f>
        <v>0</v>
      </c>
      <c r="Q5" s="58">
        <f t="shared" si="3"/>
        <v>0</v>
      </c>
      <c r="R5" s="58">
        <f t="shared" si="3"/>
        <v>0</v>
      </c>
      <c r="S5" s="58">
        <f t="shared" si="3"/>
        <v>0</v>
      </c>
      <c r="T5" s="58">
        <f t="shared" si="3"/>
        <v>0</v>
      </c>
      <c r="U5" s="58">
        <f t="shared" si="3"/>
        <v>0</v>
      </c>
      <c r="V5" s="58">
        <f t="shared" si="3"/>
        <v>0</v>
      </c>
      <c r="W5" s="58">
        <f t="shared" si="3"/>
        <v>0</v>
      </c>
      <c r="X5" s="58">
        <f t="shared" si="3"/>
        <v>0</v>
      </c>
      <c r="Y5" s="58">
        <f t="shared" si="3"/>
        <v>0</v>
      </c>
      <c r="Z5" s="58">
        <f t="shared" si="3"/>
        <v>0</v>
      </c>
    </row>
    <row r="6" spans="1:26" ht="14.4" x14ac:dyDescent="0.2">
      <c r="A6" s="17" t="s">
        <v>21</v>
      </c>
      <c r="B6" s="28">
        <v>14399.516236519896</v>
      </c>
      <c r="C6" s="28">
        <v>7124.7716439462256</v>
      </c>
      <c r="D6" s="28">
        <v>7284.9604795999412</v>
      </c>
      <c r="E6" s="28">
        <v>12710.128183842051</v>
      </c>
      <c r="F6" s="28">
        <v>15390.559450994957</v>
      </c>
      <c r="G6" s="28">
        <v>29039.315010605518</v>
      </c>
      <c r="H6" s="28">
        <v>7776.3835690594196</v>
      </c>
      <c r="I6" s="28">
        <v>13914.016747655929</v>
      </c>
      <c r="J6" s="28">
        <v>48525.177423198882</v>
      </c>
      <c r="K6" s="28">
        <v>19263.813273176031</v>
      </c>
      <c r="L6" s="28">
        <v>13773.090306479769</v>
      </c>
      <c r="M6" s="28">
        <v>11387.527078326964</v>
      </c>
      <c r="N6" s="28">
        <v>14025.018298429239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</row>
    <row r="7" spans="1:26" ht="14.4" x14ac:dyDescent="0.2">
      <c r="A7" s="17" t="s">
        <v>22</v>
      </c>
      <c r="B7" s="28">
        <v>5221.4100000000008</v>
      </c>
      <c r="C7" s="28">
        <v>5077.4039473138882</v>
      </c>
      <c r="D7" s="28">
        <v>5292.0598426974839</v>
      </c>
      <c r="E7" s="28">
        <v>5445.885423882276</v>
      </c>
      <c r="F7" s="28">
        <v>5947.9817635513837</v>
      </c>
      <c r="G7" s="28">
        <v>6276.1936383335005</v>
      </c>
      <c r="H7" s="28">
        <v>6158.1913004311909</v>
      </c>
      <c r="I7" s="28">
        <v>6262.9148224632463</v>
      </c>
      <c r="J7" s="28">
        <v>6849.6307399163043</v>
      </c>
      <c r="K7" s="28">
        <v>6976.564940785358</v>
      </c>
      <c r="L7" s="28">
        <v>7389.3893698221445</v>
      </c>
      <c r="M7" s="28">
        <v>7633.5354892738142</v>
      </c>
      <c r="N7" s="28">
        <v>7850.9178520602227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</row>
    <row r="8" spans="1:26" ht="14.4" x14ac:dyDescent="0.2">
      <c r="A8" s="17" t="s">
        <v>23</v>
      </c>
      <c r="B8" s="28">
        <v>10791.767647343784</v>
      </c>
      <c r="C8" s="28">
        <v>22118.185779663774</v>
      </c>
      <c r="D8" s="28">
        <v>22270.877047942253</v>
      </c>
      <c r="E8" s="28">
        <v>18925.539840947367</v>
      </c>
      <c r="F8" s="28">
        <v>17371.465885558388</v>
      </c>
      <c r="G8" s="28">
        <v>27549.329253210872</v>
      </c>
      <c r="H8" s="28">
        <v>25308.562941317854</v>
      </c>
      <c r="I8" s="28">
        <v>19790.536692252914</v>
      </c>
      <c r="J8" s="28">
        <v>11919.093924847031</v>
      </c>
      <c r="K8" s="28">
        <v>29448.34128276811</v>
      </c>
      <c r="L8" s="28">
        <v>28097.445452419732</v>
      </c>
      <c r="M8" s="28">
        <v>21039.852723164528</v>
      </c>
      <c r="N8" s="28">
        <v>18429.03242892872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</row>
    <row r="9" spans="1:26" ht="14.4" x14ac:dyDescent="0.25">
      <c r="A9" s="17" t="s">
        <v>24</v>
      </c>
      <c r="B9" s="28">
        <v>13789</v>
      </c>
      <c r="C9" s="90">
        <v>9119.4</v>
      </c>
      <c r="D9" s="90">
        <v>5668</v>
      </c>
      <c r="E9" s="90">
        <v>6575</v>
      </c>
      <c r="F9" s="90">
        <v>20570</v>
      </c>
      <c r="G9" s="90">
        <v>39639</v>
      </c>
      <c r="H9" s="90">
        <v>10496.1</v>
      </c>
      <c r="I9" s="82">
        <v>19853</v>
      </c>
      <c r="J9" s="82">
        <v>22147.3</v>
      </c>
      <c r="K9" s="82">
        <v>26623.9</v>
      </c>
      <c r="L9" s="82">
        <v>18349</v>
      </c>
      <c r="M9" s="82">
        <v>8578</v>
      </c>
      <c r="N9" s="82">
        <v>11553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</row>
    <row r="10" spans="1:26" ht="18" customHeight="1" x14ac:dyDescent="0.2">
      <c r="A10" s="17" t="s">
        <v>25</v>
      </c>
      <c r="B10" s="28">
        <v>11916</v>
      </c>
      <c r="C10" s="28">
        <v>12527</v>
      </c>
      <c r="D10" s="28">
        <v>15744</v>
      </c>
      <c r="E10" s="28">
        <v>16382</v>
      </c>
      <c r="F10" s="28">
        <v>16988</v>
      </c>
      <c r="G10" s="28">
        <v>16110</v>
      </c>
      <c r="H10" s="28">
        <v>16780</v>
      </c>
      <c r="I10" s="28">
        <v>17012</v>
      </c>
      <c r="J10" s="28">
        <v>16950</v>
      </c>
      <c r="K10" s="28">
        <v>16830</v>
      </c>
      <c r="L10" s="28">
        <v>16780</v>
      </c>
      <c r="M10" s="28">
        <v>16934</v>
      </c>
      <c r="N10" s="28">
        <v>16750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</row>
    <row r="11" spans="1:26" ht="23.5" customHeight="1" x14ac:dyDescent="0.2">
      <c r="A11" s="17" t="s">
        <v>36</v>
      </c>
      <c r="B11" s="82">
        <v>2</v>
      </c>
      <c r="C11" s="82">
        <v>12.1</v>
      </c>
      <c r="D11" s="82">
        <v>3.12</v>
      </c>
      <c r="E11" s="82">
        <v>1.91</v>
      </c>
      <c r="F11" s="82">
        <v>0</v>
      </c>
      <c r="G11" s="82">
        <v>0</v>
      </c>
      <c r="H11" s="82">
        <v>0</v>
      </c>
      <c r="I11" s="82">
        <v>0</v>
      </c>
      <c r="J11" s="82">
        <v>8</v>
      </c>
      <c r="K11" s="82">
        <v>20</v>
      </c>
      <c r="L11" s="82">
        <v>22</v>
      </c>
      <c r="M11" s="82">
        <v>15.3</v>
      </c>
      <c r="N11" s="82">
        <v>18.600000000000001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</row>
    <row r="12" spans="1:26" s="16" customFormat="1" ht="23.5" customHeight="1" x14ac:dyDescent="0.2">
      <c r="A12" s="17" t="s">
        <v>37</v>
      </c>
      <c r="B12" s="82">
        <v>0</v>
      </c>
      <c r="C12" s="82">
        <f>'Debt Schedule_Actual'!C7</f>
        <v>1140</v>
      </c>
      <c r="D12" s="82">
        <f>'Debt Schedule_Actual'!D7</f>
        <v>1140</v>
      </c>
      <c r="E12" s="82">
        <f>'Debt Schedule_Actual'!E7</f>
        <v>0</v>
      </c>
      <c r="F12" s="82">
        <f>'Debt Schedule_Actual'!F7</f>
        <v>190</v>
      </c>
      <c r="G12" s="82">
        <f>'Debt Schedule_Actual'!G7</f>
        <v>2470</v>
      </c>
      <c r="H12" s="82">
        <f>'Debt Schedule_Actual'!H7</f>
        <v>4940</v>
      </c>
      <c r="I12" s="82">
        <f>'Debt Schedule_Actual'!I7</f>
        <v>6650</v>
      </c>
      <c r="J12" s="82">
        <f>'Debt Schedule_Actual'!J7</f>
        <v>7980</v>
      </c>
      <c r="K12" s="82">
        <f>'Debt Schedule_Actual'!K7</f>
        <v>7030</v>
      </c>
      <c r="L12" s="82">
        <f>'Debt Schedule_Actual'!L7</f>
        <v>3040</v>
      </c>
      <c r="M12" s="82">
        <f>'Debt Schedule_Actual'!M7</f>
        <v>0</v>
      </c>
      <c r="N12" s="82">
        <f>'Debt Schedule_Actual'!N7</f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</row>
    <row r="13" spans="1:26" s="4" customFormat="1" ht="14.4" x14ac:dyDescent="0.2">
      <c r="A13" s="17" t="s">
        <v>26</v>
      </c>
      <c r="B13" s="28">
        <v>824.13310852385462</v>
      </c>
      <c r="C13" s="28">
        <v>570.23576492421478</v>
      </c>
      <c r="D13" s="28">
        <v>39.497635291158744</v>
      </c>
      <c r="E13" s="28">
        <v>17.395257260193599</v>
      </c>
      <c r="F13" s="28">
        <v>67.188391617289625</v>
      </c>
      <c r="G13" s="28">
        <v>61.587818095708379</v>
      </c>
      <c r="H13" s="28">
        <v>26.76718265313831</v>
      </c>
      <c r="I13" s="28">
        <v>22.805152064360499</v>
      </c>
      <c r="J13" s="28">
        <v>68.600566881583489</v>
      </c>
      <c r="K13" s="28">
        <v>11.289030298717996</v>
      </c>
      <c r="L13" s="28">
        <v>75.667474322306674</v>
      </c>
      <c r="M13" s="28">
        <v>13.047802462489905</v>
      </c>
      <c r="N13" s="28">
        <v>15.724058671421549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</row>
    <row r="14" spans="1:26" s="16" customFormat="1" ht="14.4" x14ac:dyDescent="0.25">
      <c r="A14" s="17" t="s">
        <v>27</v>
      </c>
      <c r="B14" s="28">
        <v>0</v>
      </c>
      <c r="C14" s="90">
        <v>0</v>
      </c>
      <c r="D14" s="90">
        <v>0</v>
      </c>
      <c r="E14" s="90">
        <v>0</v>
      </c>
      <c r="F14" s="90">
        <v>0</v>
      </c>
      <c r="G14" s="90">
        <v>220.1</v>
      </c>
      <c r="H14" s="90">
        <v>35</v>
      </c>
      <c r="I14" s="90">
        <v>178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</row>
    <row r="15" spans="1:26" ht="23.95" customHeight="1" x14ac:dyDescent="0.2">
      <c r="A15" s="19" t="s">
        <v>28</v>
      </c>
      <c r="B15" s="83">
        <f>B5+B6-B7-B8-B9-B10+B11-B12-B13+B14</f>
        <v>17826.56875533938</v>
      </c>
      <c r="C15" s="83">
        <f t="shared" ref="C15:N15" si="4">C5+C6-C7-C8-C9-C10+C11-C12-C13+C14</f>
        <v>32761.638000550902</v>
      </c>
      <c r="D15" s="83">
        <f t="shared" si="4"/>
        <v>67638.758234712994</v>
      </c>
      <c r="E15" s="83">
        <f t="shared" si="4"/>
        <v>56722.072760471252</v>
      </c>
      <c r="F15" s="83">
        <f t="shared" si="4"/>
        <v>26189.268145412214</v>
      </c>
      <c r="G15" s="83">
        <f t="shared" si="4"/>
        <v>34307.250787804711</v>
      </c>
      <c r="H15" s="83">
        <f t="shared" si="4"/>
        <v>52307.356227677221</v>
      </c>
      <c r="I15" s="83">
        <f t="shared" si="4"/>
        <v>30723.663877035931</v>
      </c>
      <c r="J15" s="83">
        <f t="shared" si="4"/>
        <v>73518.53912712913</v>
      </c>
      <c r="K15" s="83">
        <f t="shared" si="4"/>
        <v>52371.08602347273</v>
      </c>
      <c r="L15" s="83">
        <f t="shared" si="4"/>
        <v>88688.066388119929</v>
      </c>
      <c r="M15" s="83">
        <f t="shared" si="4"/>
        <v>54186.638708165483</v>
      </c>
      <c r="N15" s="83">
        <f t="shared" si="4"/>
        <v>57494.625603949971</v>
      </c>
      <c r="O15" s="60">
        <f t="shared" ref="O15:Z15" si="5">O5+O6-O7-O8-O9+O11-O12-O13+O14</f>
        <v>0</v>
      </c>
      <c r="P15" s="60">
        <f t="shared" si="5"/>
        <v>0</v>
      </c>
      <c r="Q15" s="60">
        <f t="shared" si="5"/>
        <v>0</v>
      </c>
      <c r="R15" s="60">
        <f t="shared" si="5"/>
        <v>0</v>
      </c>
      <c r="S15" s="60">
        <f t="shared" si="5"/>
        <v>0</v>
      </c>
      <c r="T15" s="60">
        <f t="shared" si="5"/>
        <v>0</v>
      </c>
      <c r="U15" s="60">
        <f t="shared" si="5"/>
        <v>0</v>
      </c>
      <c r="V15" s="60">
        <f t="shared" si="5"/>
        <v>0</v>
      </c>
      <c r="W15" s="60">
        <f t="shared" si="5"/>
        <v>0</v>
      </c>
      <c r="X15" s="60">
        <f t="shared" si="5"/>
        <v>0</v>
      </c>
      <c r="Y15" s="60">
        <f t="shared" si="5"/>
        <v>0</v>
      </c>
      <c r="Z15" s="60">
        <f t="shared" si="5"/>
        <v>0</v>
      </c>
    </row>
    <row r="16" spans="1:26" ht="23.5" customHeight="1" x14ac:dyDescent="0.2">
      <c r="A16" s="17" t="s">
        <v>48</v>
      </c>
      <c r="B16" s="82">
        <f>B15*0.18</f>
        <v>3208.7823759610883</v>
      </c>
      <c r="C16" s="82">
        <f t="shared" ref="C16:N16" si="6">C15*0.18</f>
        <v>5897.094840099162</v>
      </c>
      <c r="D16" s="82">
        <f t="shared" si="6"/>
        <v>12174.976482248338</v>
      </c>
      <c r="E16" s="82">
        <f t="shared" si="6"/>
        <v>10209.973096884825</v>
      </c>
      <c r="F16" s="82">
        <f t="shared" si="6"/>
        <v>4714.0682661741985</v>
      </c>
      <c r="G16" s="82">
        <f t="shared" si="6"/>
        <v>6175.3051418048481</v>
      </c>
      <c r="H16" s="82">
        <f t="shared" si="6"/>
        <v>9415.3241209818989</v>
      </c>
      <c r="I16" s="82">
        <f t="shared" si="6"/>
        <v>5530.2594978664674</v>
      </c>
      <c r="J16" s="82">
        <f t="shared" si="6"/>
        <v>13233.337042883242</v>
      </c>
      <c r="K16" s="82">
        <f t="shared" si="6"/>
        <v>9426.7954842250911</v>
      </c>
      <c r="L16" s="82">
        <f t="shared" si="6"/>
        <v>15963.851949861586</v>
      </c>
      <c r="M16" s="82">
        <f t="shared" si="6"/>
        <v>9753.5949674697858</v>
      </c>
      <c r="N16" s="82">
        <f t="shared" si="6"/>
        <v>10349.032608710995</v>
      </c>
      <c r="O16" s="46">
        <f t="shared" ref="O16" si="7">O15*0.18</f>
        <v>0</v>
      </c>
      <c r="P16" s="46">
        <f t="shared" ref="P16:Z16" si="8">P15*0.18</f>
        <v>0</v>
      </c>
      <c r="Q16" s="46">
        <f t="shared" si="8"/>
        <v>0</v>
      </c>
      <c r="R16" s="46">
        <f t="shared" si="8"/>
        <v>0</v>
      </c>
      <c r="S16" s="46">
        <f t="shared" si="8"/>
        <v>0</v>
      </c>
      <c r="T16" s="46">
        <f t="shared" si="8"/>
        <v>0</v>
      </c>
      <c r="U16" s="46">
        <f t="shared" si="8"/>
        <v>0</v>
      </c>
      <c r="V16" s="46">
        <f t="shared" si="8"/>
        <v>0</v>
      </c>
      <c r="W16" s="46">
        <f t="shared" si="8"/>
        <v>0</v>
      </c>
      <c r="X16" s="46">
        <f t="shared" si="8"/>
        <v>0</v>
      </c>
      <c r="Y16" s="46">
        <f t="shared" si="8"/>
        <v>0</v>
      </c>
      <c r="Z16" s="46">
        <f t="shared" si="8"/>
        <v>0</v>
      </c>
    </row>
    <row r="17" spans="1:26" ht="14.4" x14ac:dyDescent="0.2">
      <c r="A17" s="19" t="s">
        <v>29</v>
      </c>
      <c r="B17" s="83">
        <f>B15-B16</f>
        <v>14617.786379378293</v>
      </c>
      <c r="C17" s="83">
        <f t="shared" ref="C17:N17" si="9">C15-C16</f>
        <v>26864.54316045174</v>
      </c>
      <c r="D17" s="83">
        <f t="shared" si="9"/>
        <v>55463.781752464653</v>
      </c>
      <c r="E17" s="83">
        <f t="shared" si="9"/>
        <v>46512.099663586429</v>
      </c>
      <c r="F17" s="83">
        <f t="shared" si="9"/>
        <v>21475.199879238015</v>
      </c>
      <c r="G17" s="83">
        <f t="shared" si="9"/>
        <v>28131.945645999862</v>
      </c>
      <c r="H17" s="83">
        <f t="shared" si="9"/>
        <v>42892.032106695318</v>
      </c>
      <c r="I17" s="83">
        <f t="shared" si="9"/>
        <v>25193.404379169464</v>
      </c>
      <c r="J17" s="83">
        <f t="shared" si="9"/>
        <v>60285.202084245888</v>
      </c>
      <c r="K17" s="83">
        <f t="shared" si="9"/>
        <v>42944.290539247639</v>
      </c>
      <c r="L17" s="83">
        <f t="shared" si="9"/>
        <v>72724.21443825835</v>
      </c>
      <c r="M17" s="83">
        <f t="shared" si="9"/>
        <v>44433.043740695699</v>
      </c>
      <c r="N17" s="83">
        <f t="shared" si="9"/>
        <v>47145.592995238978</v>
      </c>
      <c r="O17" s="60">
        <f t="shared" ref="O17" si="10">O15-O16</f>
        <v>0</v>
      </c>
      <c r="P17" s="60">
        <f t="shared" ref="P17:Z17" si="11">P15-P16</f>
        <v>0</v>
      </c>
      <c r="Q17" s="60">
        <f t="shared" si="11"/>
        <v>0</v>
      </c>
      <c r="R17" s="60">
        <f t="shared" si="11"/>
        <v>0</v>
      </c>
      <c r="S17" s="60">
        <f t="shared" si="11"/>
        <v>0</v>
      </c>
      <c r="T17" s="60">
        <f t="shared" si="11"/>
        <v>0</v>
      </c>
      <c r="U17" s="60">
        <f t="shared" si="11"/>
        <v>0</v>
      </c>
      <c r="V17" s="60">
        <f t="shared" si="11"/>
        <v>0</v>
      </c>
      <c r="W17" s="60">
        <f t="shared" si="11"/>
        <v>0</v>
      </c>
      <c r="X17" s="60">
        <f t="shared" si="11"/>
        <v>0</v>
      </c>
      <c r="Y17" s="60">
        <f t="shared" si="11"/>
        <v>0</v>
      </c>
      <c r="Z17" s="60">
        <f t="shared" si="11"/>
        <v>0</v>
      </c>
    </row>
    <row r="18" spans="1:26" ht="15.05" customHeight="1" x14ac:dyDescent="0.25">
      <c r="A18" s="17" t="s">
        <v>30</v>
      </c>
      <c r="B18" s="28">
        <v>11981</v>
      </c>
      <c r="C18" s="90">
        <f>'Working Capital_Actual'!C2-'Working Capital_Actual'!B2</f>
        <v>8070.4383392901509</v>
      </c>
      <c r="D18" s="90">
        <f>'Working Capital_Actual'!D2-'Working Capital_Actual'!C2</f>
        <v>7583.6586152661184</v>
      </c>
      <c r="E18" s="90">
        <f>'Working Capital_Actual'!E2-'Working Capital_Actual'!D2</f>
        <v>4300.2853462407365</v>
      </c>
      <c r="F18" s="90">
        <f>'Working Capital_Actual'!F2-'Working Capital_Actual'!E2</f>
        <v>7072.5358950118534</v>
      </c>
      <c r="G18" s="90">
        <f>'Working Capital_Actual'!G2-'Working Capital_Actual'!F2</f>
        <v>10460.248705307778</v>
      </c>
      <c r="H18" s="90">
        <f>'Working Capital_Actual'!H2-'Working Capital_Actual'!G2</f>
        <v>13741.607193469012</v>
      </c>
      <c r="I18" s="90">
        <f>'Working Capital_Actual'!I2-'Working Capital_Actual'!H2</f>
        <v>-6239.5803257678635</v>
      </c>
      <c r="J18" s="90">
        <f>'Working Capital_Actual'!J2-'Working Capital_Actual'!I2</f>
        <v>13643.167702329694</v>
      </c>
      <c r="K18" s="90">
        <f>'Working Capital_Actual'!K2-'Working Capital_Actual'!J2</f>
        <v>11402.232865506347</v>
      </c>
      <c r="L18" s="90">
        <f>'Working Capital_Actual'!L2-'Working Capital_Actual'!K2</f>
        <v>15186.743949997006</v>
      </c>
      <c r="M18" s="90">
        <f>'Working Capital_Actual'!M2-'Working Capital_Actual'!L2</f>
        <v>-7526.1681907860329</v>
      </c>
      <c r="N18" s="90">
        <f>'Working Capital_Actual'!N2-'Working Capital_Actual'!M2</f>
        <v>16282.146439497243</v>
      </c>
      <c r="O18" s="45">
        <v>0</v>
      </c>
      <c r="P18" s="45">
        <f>'Working Capital_Actual'!P2-'Working Capital_Actual'!O2</f>
        <v>0</v>
      </c>
      <c r="Q18" s="45">
        <f>'Working Capital_Actual'!Q2-'Working Capital_Actual'!P2</f>
        <v>0</v>
      </c>
      <c r="R18" s="45">
        <v>0</v>
      </c>
      <c r="S18" s="45">
        <f>'Working Capital_Actual'!S2-'Working Capital_Actual'!R2</f>
        <v>0</v>
      </c>
      <c r="T18" s="45">
        <f>'Working Capital_Actual'!T2-'Working Capital_Actual'!S2</f>
        <v>0</v>
      </c>
      <c r="U18" s="45">
        <f>'Working Capital_Actual'!U2-'Working Capital_Actual'!T2</f>
        <v>0</v>
      </c>
      <c r="V18" s="45">
        <v>0</v>
      </c>
      <c r="W18" s="45">
        <f>'Working Capital_Actual'!W2-'Working Capital_Actual'!V2</f>
        <v>0</v>
      </c>
      <c r="X18" s="45">
        <f>'Working Capital_Actual'!X2-'Working Capital_Actual'!W2</f>
        <v>0</v>
      </c>
      <c r="Y18" s="45">
        <f>'Working Capital_Actual'!Y2-'Working Capital_Actual'!X2</f>
        <v>0</v>
      </c>
      <c r="Z18" s="45">
        <v>0</v>
      </c>
    </row>
    <row r="19" spans="1:26" ht="14.4" x14ac:dyDescent="0.2">
      <c r="A19" s="17" t="s">
        <v>31</v>
      </c>
      <c r="B19" s="28">
        <v>5348</v>
      </c>
      <c r="C19" s="82">
        <f>'Working Capital_Actual'!C3-'Working Capital_Actual'!B3</f>
        <v>200.06890405986633</v>
      </c>
      <c r="D19" s="82">
        <f>'Working Capital_Actual'!D3-'Working Capital_Actual'!C3</f>
        <v>-4502.7687240699888</v>
      </c>
      <c r="E19" s="82">
        <f>'Working Capital_Actual'!E3-'Working Capital_Actual'!D3</f>
        <v>2598.6765561117354</v>
      </c>
      <c r="F19" s="82">
        <f>'Working Capital_Actual'!F3-'Working Capital_Actual'!E3</f>
        <v>37408.603511555761</v>
      </c>
      <c r="G19" s="82">
        <f>'Working Capital_Actual'!G3-'Working Capital_Actual'!F3</f>
        <v>13216.556677257089</v>
      </c>
      <c r="H19" s="82">
        <f>'Working Capital_Actual'!H3-'Working Capital_Actual'!G3</f>
        <v>-29965.055492261366</v>
      </c>
      <c r="I19" s="82">
        <f>'Working Capital_Actual'!I3-'Working Capital_Actual'!H3</f>
        <v>-17754.81754829867</v>
      </c>
      <c r="J19" s="82">
        <f>'Working Capital_Actual'!J3-'Working Capital_Actual'!I3</f>
        <v>-10128.373212597449</v>
      </c>
      <c r="K19" s="82">
        <f>'Working Capital_Actual'!K3-'Working Capital_Actual'!J3</f>
        <v>42869.389839946482</v>
      </c>
      <c r="L19" s="82">
        <f>'Working Capital_Actual'!L3-'Working Capital_Actual'!K3</f>
        <v>11764.77047083911</v>
      </c>
      <c r="M19" s="82">
        <f>'Working Capital_Actual'!M3-'Working Capital_Actual'!L3</f>
        <v>-5159.2163563490321</v>
      </c>
      <c r="N19" s="82">
        <f>'Working Capital_Actual'!N3-'Working Capital_Actual'!M3</f>
        <v>463.17992836036137</v>
      </c>
      <c r="O19" s="46">
        <v>0</v>
      </c>
      <c r="P19" s="46">
        <f>'Working Capital_Actual'!P3-'Working Capital_Actual'!O3</f>
        <v>0</v>
      </c>
      <c r="Q19" s="46">
        <f>'Working Capital_Actual'!Q3-'Working Capital_Actual'!P3</f>
        <v>0</v>
      </c>
      <c r="R19" s="46">
        <f>'Working Capital_Actual'!R3-'Working Capital_Actual'!Q3</f>
        <v>0</v>
      </c>
      <c r="S19" s="46">
        <f>'Working Capital_Actual'!S3-'Working Capital_Actual'!R3</f>
        <v>0</v>
      </c>
      <c r="T19" s="46">
        <f>'Working Capital_Actual'!T3-'Working Capital_Actual'!S3</f>
        <v>0</v>
      </c>
      <c r="U19" s="46">
        <f>'Working Capital_Actual'!U3-'Working Capital_Actual'!T3</f>
        <v>0</v>
      </c>
      <c r="V19" s="46">
        <f>'Working Capital_Actual'!V3-'Working Capital_Actual'!U3</f>
        <v>0</v>
      </c>
      <c r="W19" s="46">
        <f>'Working Capital_Actual'!W3-'Working Capital_Actual'!V3</f>
        <v>0</v>
      </c>
      <c r="X19" s="46">
        <f>'Working Capital_Actual'!X3-'Working Capital_Actual'!W3</f>
        <v>0</v>
      </c>
      <c r="Y19" s="46">
        <f>'Working Capital_Actual'!Y3-'Working Capital_Actual'!X3</f>
        <v>0</v>
      </c>
      <c r="Z19" s="46">
        <f>'Working Capital_Actual'!Z3-'Working Capital_Actual'!Y3</f>
        <v>0</v>
      </c>
    </row>
    <row r="20" spans="1:26" ht="14.4" x14ac:dyDescent="0.2">
      <c r="A20" s="17" t="s">
        <v>32</v>
      </c>
      <c r="B20" s="28">
        <v>13551</v>
      </c>
      <c r="C20" s="82">
        <f>'Working Capital_Actual'!C4-'Working Capital_Actual'!B4</f>
        <v>-33797.145493997021</v>
      </c>
      <c r="D20" s="82">
        <f>'Working Capital_Actual'!D4-'Working Capital_Actual'!C4</f>
        <v>27892.258804827798</v>
      </c>
      <c r="E20" s="82">
        <f>'Working Capital_Actual'!E4-'Working Capital_Actual'!D4</f>
        <v>-42109.681208750269</v>
      </c>
      <c r="F20" s="82">
        <f>'Working Capital_Actual'!F4-'Working Capital_Actual'!E4</f>
        <v>14022.4604504909</v>
      </c>
      <c r="G20" s="82">
        <f>'Working Capital_Actual'!G4-'Working Capital_Actual'!F4</f>
        <v>13696.765550923083</v>
      </c>
      <c r="H20" s="82">
        <f>'Working Capital_Actual'!H4-'Working Capital_Actual'!G4</f>
        <v>1433.2427820076191</v>
      </c>
      <c r="I20" s="82">
        <f>'Working Capital_Actual'!I4-'Working Capital_Actual'!H4</f>
        <v>-26317.405957134812</v>
      </c>
      <c r="J20" s="82">
        <f>'Working Capital_Actual'!J4-'Working Capital_Actual'!I4</f>
        <v>-568.03022303132457</v>
      </c>
      <c r="K20" s="82">
        <f>'Working Capital_Actual'!K4-'Working Capital_Actual'!J4</f>
        <v>1628.8105505123822</v>
      </c>
      <c r="L20" s="82">
        <f>'Working Capital_Actual'!L4-'Working Capital_Actual'!K4</f>
        <v>1704.1894494876178</v>
      </c>
      <c r="M20" s="82">
        <f>'Working Capital_Actual'!M4-'Working Capital_Actual'!L4</f>
        <v>-1062</v>
      </c>
      <c r="N20" s="82">
        <f>'Working Capital_Actual'!N4-'Working Capital_Actual'!M4</f>
        <v>2605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</row>
    <row r="21" spans="1:26" ht="14.4" x14ac:dyDescent="0.2">
      <c r="A21" s="19" t="s">
        <v>33</v>
      </c>
      <c r="B21" s="86">
        <f>B17+B10-B18-B19+B20-3520</f>
        <v>19235.786379378293</v>
      </c>
      <c r="C21" s="86">
        <f>C17+C10-C18-C19+C20-B16</f>
        <v>-5884.8919528563902</v>
      </c>
      <c r="D21" s="86">
        <f t="shared" ref="D21:N21" si="12">D17+D10-D18-D19+D20-C16</f>
        <v>90122.055825997159</v>
      </c>
      <c r="E21" s="86">
        <f t="shared" si="12"/>
        <v>1710.4800702353496</v>
      </c>
      <c r="F21" s="86">
        <f t="shared" si="12"/>
        <v>-2205.4521737235209</v>
      </c>
      <c r="G21" s="86">
        <f t="shared" si="12"/>
        <v>29547.837548183878</v>
      </c>
      <c r="H21" s="86">
        <f t="shared" si="12"/>
        <v>71153.418045690443</v>
      </c>
      <c r="I21" s="86">
        <f t="shared" si="12"/>
        <v>30467.072175119294</v>
      </c>
      <c r="J21" s="86">
        <f t="shared" si="12"/>
        <v>67622.117873615847</v>
      </c>
      <c r="K21" s="86">
        <f t="shared" si="12"/>
        <v>-6101.8586585760495</v>
      </c>
      <c r="L21" s="86">
        <f t="shared" si="12"/>
        <v>54830.093982684761</v>
      </c>
      <c r="M21" s="86">
        <f t="shared" si="12"/>
        <v>57026.576337969171</v>
      </c>
      <c r="N21" s="86">
        <f t="shared" si="12"/>
        <v>40001.67165991159</v>
      </c>
      <c r="O21" s="86">
        <v>0</v>
      </c>
      <c r="P21" s="86">
        <f t="shared" ref="P21:Z21" si="13">-P18-P19+P17+P20</f>
        <v>0</v>
      </c>
      <c r="Q21" s="86">
        <f t="shared" si="13"/>
        <v>0</v>
      </c>
      <c r="R21" s="86">
        <f t="shared" si="13"/>
        <v>0</v>
      </c>
      <c r="S21" s="86">
        <f t="shared" si="13"/>
        <v>0</v>
      </c>
      <c r="T21" s="86">
        <f t="shared" si="13"/>
        <v>0</v>
      </c>
      <c r="U21" s="86">
        <f t="shared" si="13"/>
        <v>0</v>
      </c>
      <c r="V21" s="86">
        <f t="shared" si="13"/>
        <v>0</v>
      </c>
      <c r="W21" s="86">
        <f t="shared" si="13"/>
        <v>0</v>
      </c>
      <c r="X21" s="86">
        <f t="shared" si="13"/>
        <v>0</v>
      </c>
      <c r="Y21" s="86">
        <f t="shared" si="13"/>
        <v>0</v>
      </c>
      <c r="Z21" s="86">
        <f t="shared" si="13"/>
        <v>0</v>
      </c>
    </row>
    <row r="22" spans="1:26" ht="14.4" x14ac:dyDescent="0.2">
      <c r="A22" s="17" t="s">
        <v>34</v>
      </c>
      <c r="B22" s="28">
        <f>CapEx_Actual!B7</f>
        <v>15525.432395094773</v>
      </c>
      <c r="C22" s="28">
        <f>CapEx_Actual!C7</f>
        <v>14152.348018783494</v>
      </c>
      <c r="D22" s="28">
        <f>CapEx_Actual!D7</f>
        <v>9963.7909407676198</v>
      </c>
      <c r="E22" s="28">
        <f>CapEx_Actual!E7</f>
        <v>8865.7922901713464</v>
      </c>
      <c r="F22" s="28">
        <f>CapEx_Actual!F7</f>
        <v>58390.49460844518</v>
      </c>
      <c r="G22" s="28">
        <f>CapEx_Actual!G7</f>
        <v>51725.234969228448</v>
      </c>
      <c r="H22" s="28">
        <f>CapEx_Actual!H7</f>
        <v>41942.729225758929</v>
      </c>
      <c r="I22" s="28">
        <f>CapEx_Actual!I7</f>
        <v>71660.090434113314</v>
      </c>
      <c r="J22" s="28">
        <f>CapEx_Actual!J7</f>
        <v>26860.911463992496</v>
      </c>
      <c r="K22" s="28">
        <f>CapEx_Actual!K7</f>
        <v>938.1516895465611</v>
      </c>
      <c r="L22" s="28">
        <f>CapEx_Actual!L7</f>
        <v>4300.9960787155433</v>
      </c>
      <c r="M22" s="28">
        <f>CapEx_Actual!M7</f>
        <v>2233.8946107662341</v>
      </c>
      <c r="N22" s="28">
        <f>CapEx_Actual!N7</f>
        <v>296.31112075582496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</row>
    <row r="23" spans="1:26" s="5" customFormat="1" ht="14.4" x14ac:dyDescent="0.2">
      <c r="A23" s="19" t="s">
        <v>35</v>
      </c>
      <c r="B23" s="83">
        <f>-(B22)</f>
        <v>-15525.432395094773</v>
      </c>
      <c r="C23" s="83">
        <f t="shared" ref="C23:H23" si="14">-C22</f>
        <v>-14152.348018783494</v>
      </c>
      <c r="D23" s="83">
        <f t="shared" si="14"/>
        <v>-9963.7909407676198</v>
      </c>
      <c r="E23" s="83">
        <f t="shared" si="14"/>
        <v>-8865.7922901713464</v>
      </c>
      <c r="F23" s="83">
        <f t="shared" si="14"/>
        <v>-58390.49460844518</v>
      </c>
      <c r="G23" s="83">
        <f t="shared" si="14"/>
        <v>-51725.234969228448</v>
      </c>
      <c r="H23" s="83">
        <f t="shared" si="14"/>
        <v>-41942.729225758929</v>
      </c>
      <c r="I23" s="83">
        <f t="shared" ref="I23:O23" si="15">-I22</f>
        <v>-71660.090434113314</v>
      </c>
      <c r="J23" s="83">
        <f t="shared" si="15"/>
        <v>-26860.911463992496</v>
      </c>
      <c r="K23" s="83">
        <f t="shared" si="15"/>
        <v>-938.1516895465611</v>
      </c>
      <c r="L23" s="83">
        <f t="shared" si="15"/>
        <v>-4300.9960787155433</v>
      </c>
      <c r="M23" s="83">
        <f t="shared" si="15"/>
        <v>-2233.8946107662341</v>
      </c>
      <c r="N23" s="83">
        <f t="shared" si="15"/>
        <v>-296.31112075582496</v>
      </c>
      <c r="O23" s="62">
        <f t="shared" si="15"/>
        <v>0</v>
      </c>
      <c r="P23" s="62">
        <f t="shared" ref="P23:Z23" si="16">-P22</f>
        <v>0</v>
      </c>
      <c r="Q23" s="62">
        <f t="shared" si="16"/>
        <v>0</v>
      </c>
      <c r="R23" s="62">
        <f t="shared" si="16"/>
        <v>0</v>
      </c>
      <c r="S23" s="62">
        <f t="shared" si="16"/>
        <v>0</v>
      </c>
      <c r="T23" s="62">
        <f t="shared" si="16"/>
        <v>0</v>
      </c>
      <c r="U23" s="62">
        <f t="shared" si="16"/>
        <v>0</v>
      </c>
      <c r="V23" s="62">
        <f t="shared" si="16"/>
        <v>0</v>
      </c>
      <c r="W23" s="62">
        <f t="shared" si="16"/>
        <v>0</v>
      </c>
      <c r="X23" s="62">
        <f t="shared" si="16"/>
        <v>0</v>
      </c>
      <c r="Y23" s="62">
        <f t="shared" si="16"/>
        <v>0</v>
      </c>
      <c r="Z23" s="62">
        <f t="shared" si="16"/>
        <v>0</v>
      </c>
    </row>
    <row r="24" spans="1:26" s="6" customFormat="1" ht="14.4" x14ac:dyDescent="0.25">
      <c r="A24" s="17" t="s">
        <v>38</v>
      </c>
      <c r="B24" s="90">
        <v>0</v>
      </c>
      <c r="C24" s="90">
        <v>0</v>
      </c>
      <c r="D24" s="90">
        <v>0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</row>
    <row r="25" spans="1:26" s="6" customFormat="1" ht="14.4" x14ac:dyDescent="0.25">
      <c r="A25" s="17" t="s">
        <v>39</v>
      </c>
      <c r="B25" s="90">
        <v>0</v>
      </c>
      <c r="C25" s="90">
        <v>0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1:26" s="6" customFormat="1" ht="14.4" x14ac:dyDescent="0.25">
      <c r="A26" s="17" t="s">
        <v>40</v>
      </c>
      <c r="B26" s="90">
        <v>0</v>
      </c>
      <c r="C26" s="90">
        <v>0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s="6" customFormat="1" ht="14.4" x14ac:dyDescent="0.25">
      <c r="A27" s="17" t="s">
        <v>41</v>
      </c>
      <c r="B27" s="90">
        <v>0</v>
      </c>
      <c r="C27" s="90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</row>
    <row r="28" spans="1:26" s="6" customFormat="1" ht="14.4" x14ac:dyDescent="0.25">
      <c r="A28" s="17" t="s">
        <v>42</v>
      </c>
      <c r="B28" s="90">
        <f>'Debt Schedule_Actual'!B3</f>
        <v>0</v>
      </c>
      <c r="C28" s="90">
        <f>'Debt Schedule_Actual'!C3</f>
        <v>12000</v>
      </c>
      <c r="D28" s="90">
        <f>'Debt Schedule_Actual'!D3</f>
        <v>0</v>
      </c>
      <c r="E28" s="90">
        <f>'Debt Schedule_Actual'!E3</f>
        <v>0</v>
      </c>
      <c r="F28" s="90">
        <f>'Debt Schedule_Actual'!F3</f>
        <v>2000</v>
      </c>
      <c r="G28" s="90">
        <f>'Debt Schedule_Actual'!G3</f>
        <v>22000</v>
      </c>
      <c r="H28" s="90">
        <f>'Debt Schedule_Actual'!H3</f>
        <v>4000</v>
      </c>
      <c r="I28" s="90">
        <f>'Debt Schedule_Actual'!I3</f>
        <v>14000</v>
      </c>
      <c r="J28" s="90">
        <f>'Debt Schedule_Actual'!J3</f>
        <v>0</v>
      </c>
      <c r="K28" s="90">
        <f>'Debt Schedule_Actual'!K3</f>
        <v>0</v>
      </c>
      <c r="L28" s="90">
        <f>'Debt Schedule_Actual'!L3</f>
        <v>0</v>
      </c>
      <c r="M28" s="90">
        <f>'Debt Schedule_Actual'!M3</f>
        <v>0</v>
      </c>
      <c r="N28" s="90">
        <f>'Debt Schedule_Actual'!N3</f>
        <v>0</v>
      </c>
      <c r="O28" s="90">
        <f>'Debt Schedule_Actual'!O3</f>
        <v>0</v>
      </c>
      <c r="P28" s="90">
        <f>'Debt Schedule_Actual'!P3</f>
        <v>0</v>
      </c>
      <c r="Q28" s="90">
        <f>'Debt Schedule_Actual'!Q3</f>
        <v>0</v>
      </c>
      <c r="R28" s="90">
        <f>'Debt Schedule_Actual'!R3</f>
        <v>0</v>
      </c>
      <c r="S28" s="90">
        <f>'Debt Schedule_Actual'!S3</f>
        <v>0</v>
      </c>
      <c r="T28" s="90">
        <f>'Debt Schedule_Actual'!T3</f>
        <v>0</v>
      </c>
      <c r="U28" s="90">
        <f>'Debt Schedule_Actual'!U3</f>
        <v>0</v>
      </c>
      <c r="V28" s="90">
        <f>'Debt Schedule_Actual'!V3</f>
        <v>0</v>
      </c>
      <c r="W28" s="90">
        <f>'Debt Schedule_Actual'!W3</f>
        <v>0</v>
      </c>
      <c r="X28" s="90">
        <f>'Debt Schedule_Actual'!X3</f>
        <v>0</v>
      </c>
      <c r="Y28" s="90">
        <f>'Debt Schedule_Actual'!Y3</f>
        <v>0</v>
      </c>
      <c r="Z28" s="90">
        <f>'Debt Schedule_Actual'!Z3</f>
        <v>0</v>
      </c>
    </row>
    <row r="29" spans="1:26" s="6" customFormat="1" ht="14.4" x14ac:dyDescent="0.25">
      <c r="A29" s="17" t="s">
        <v>43</v>
      </c>
      <c r="B29" s="90">
        <f>'Debt Schedule_Actual'!B4</f>
        <v>0</v>
      </c>
      <c r="C29" s="90">
        <f>'Debt Schedule_Actual'!C4</f>
        <v>0</v>
      </c>
      <c r="D29" s="90">
        <f>'Debt Schedule_Actual'!D4</f>
        <v>12000</v>
      </c>
      <c r="E29" s="90">
        <f>'Debt Schedule_Actual'!E4</f>
        <v>0</v>
      </c>
      <c r="F29" s="90">
        <f>'Debt Schedule_Actual'!F4</f>
        <v>0</v>
      </c>
      <c r="G29" s="90">
        <f>'Debt Schedule_Actual'!G4</f>
        <v>0</v>
      </c>
      <c r="H29" s="90">
        <f>'Debt Schedule_Actual'!H4</f>
        <v>0</v>
      </c>
      <c r="I29" s="90">
        <f>'Debt Schedule_Actual'!I4</f>
        <v>0</v>
      </c>
      <c r="J29" s="90">
        <f>'Debt Schedule_Actual'!J4</f>
        <v>0</v>
      </c>
      <c r="K29" s="90">
        <f>'Debt Schedule_Actual'!K4</f>
        <v>10000</v>
      </c>
      <c r="L29" s="90">
        <f>'Debt Schedule_Actual'!L4</f>
        <v>32000</v>
      </c>
      <c r="M29" s="90">
        <f>'Debt Schedule_Actual'!M4</f>
        <v>0</v>
      </c>
      <c r="N29" s="90">
        <f>'Debt Schedule_Actual'!N4</f>
        <v>0</v>
      </c>
      <c r="O29" s="90">
        <f>'Debt Schedule_Actual'!O4</f>
        <v>0</v>
      </c>
      <c r="P29" s="90">
        <f>'Debt Schedule_Actual'!P4</f>
        <v>0</v>
      </c>
      <c r="Q29" s="90">
        <f>'Debt Schedule_Actual'!Q4</f>
        <v>0</v>
      </c>
      <c r="R29" s="90">
        <f>'Debt Schedule_Actual'!R4</f>
        <v>0</v>
      </c>
      <c r="S29" s="90">
        <f>'Debt Schedule_Actual'!S4</f>
        <v>0</v>
      </c>
      <c r="T29" s="90">
        <f>'Debt Schedule_Actual'!T4</f>
        <v>0</v>
      </c>
      <c r="U29" s="90">
        <f>'Debt Schedule_Actual'!U4</f>
        <v>0</v>
      </c>
      <c r="V29" s="90">
        <f>'Debt Schedule_Actual'!V4</f>
        <v>0</v>
      </c>
      <c r="W29" s="90">
        <f>'Debt Schedule_Actual'!W4</f>
        <v>0</v>
      </c>
      <c r="X29" s="90">
        <f>'Debt Schedule_Actual'!X4</f>
        <v>0</v>
      </c>
      <c r="Y29" s="90">
        <f>'Debt Schedule_Actual'!Y4</f>
        <v>0</v>
      </c>
      <c r="Z29" s="90">
        <f>'Debt Schedule_Actual'!Z4</f>
        <v>0</v>
      </c>
    </row>
    <row r="30" spans="1:26" s="4" customFormat="1" ht="14.4" x14ac:dyDescent="0.25">
      <c r="A30" s="17" t="s">
        <v>2</v>
      </c>
      <c r="B30" s="90">
        <v>0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2" customFormat="1" ht="14.4" x14ac:dyDescent="0.2">
      <c r="A31" s="19" t="s">
        <v>44</v>
      </c>
      <c r="B31" s="86">
        <f t="shared" ref="B31:O31" si="17">B24+B26-B27+B30+B28-B29</f>
        <v>0</v>
      </c>
      <c r="C31" s="86">
        <f t="shared" si="17"/>
        <v>12000</v>
      </c>
      <c r="D31" s="86">
        <f t="shared" si="17"/>
        <v>-12000</v>
      </c>
      <c r="E31" s="86">
        <f t="shared" si="17"/>
        <v>0</v>
      </c>
      <c r="F31" s="86">
        <f>F24+F26-F27+F30+F28-F29</f>
        <v>2000</v>
      </c>
      <c r="G31" s="86">
        <f t="shared" si="17"/>
        <v>22000</v>
      </c>
      <c r="H31" s="86">
        <f>H24+H26-H27+H30+H28-H29-H30</f>
        <v>4000</v>
      </c>
      <c r="I31" s="89">
        <f>I24+I25-I27+I28-I29</f>
        <v>14000</v>
      </c>
      <c r="J31" s="89">
        <f>J24+J25-J27+J28-J29</f>
        <v>0</v>
      </c>
      <c r="K31" s="86">
        <f t="shared" si="17"/>
        <v>-10000</v>
      </c>
      <c r="L31" s="86">
        <f t="shared" si="17"/>
        <v>-32000</v>
      </c>
      <c r="M31" s="86">
        <f t="shared" si="17"/>
        <v>0</v>
      </c>
      <c r="N31" s="86">
        <f>N24+N26-N27+N30+N28-N29</f>
        <v>0</v>
      </c>
      <c r="O31" s="61">
        <f t="shared" si="17"/>
        <v>0</v>
      </c>
      <c r="P31" s="61">
        <f t="shared" ref="P31:Z31" si="18">P24+P26-P27+P30+P28-P29</f>
        <v>0</v>
      </c>
      <c r="Q31" s="61">
        <f t="shared" si="18"/>
        <v>0</v>
      </c>
      <c r="R31" s="61">
        <f t="shared" si="18"/>
        <v>0</v>
      </c>
      <c r="S31" s="61">
        <f t="shared" si="18"/>
        <v>0</v>
      </c>
      <c r="T31" s="61">
        <f t="shared" si="18"/>
        <v>0</v>
      </c>
      <c r="U31" s="61">
        <f t="shared" si="18"/>
        <v>0</v>
      </c>
      <c r="V31" s="61">
        <f t="shared" si="18"/>
        <v>0</v>
      </c>
      <c r="W31" s="61">
        <f t="shared" si="18"/>
        <v>0</v>
      </c>
      <c r="X31" s="61">
        <f t="shared" si="18"/>
        <v>0</v>
      </c>
      <c r="Y31" s="61">
        <f t="shared" si="18"/>
        <v>0</v>
      </c>
      <c r="Z31" s="61">
        <f t="shared" si="18"/>
        <v>0</v>
      </c>
    </row>
    <row r="32" spans="1:26" s="2" customFormat="1" ht="14.4" x14ac:dyDescent="0.2">
      <c r="A32" s="19" t="s">
        <v>45</v>
      </c>
      <c r="B32" s="86">
        <f>B21+B23+B31</f>
        <v>3710.3539842835198</v>
      </c>
      <c r="C32" s="86">
        <f t="shared" ref="C32:F32" si="19">C21+C23+C31</f>
        <v>-8037.2399716398832</v>
      </c>
      <c r="D32" s="86">
        <f t="shared" si="19"/>
        <v>68158.264885229539</v>
      </c>
      <c r="E32" s="86">
        <f t="shared" si="19"/>
        <v>-7155.3122199359968</v>
      </c>
      <c r="F32" s="86">
        <f t="shared" si="19"/>
        <v>-58595.946782168699</v>
      </c>
      <c r="G32" s="86">
        <f>G21+G23+G31</f>
        <v>-177.39742104457036</v>
      </c>
      <c r="H32" s="86">
        <f t="shared" ref="H32:O32" si="20">H21+H23+H31</f>
        <v>33210.688819931514</v>
      </c>
      <c r="I32" s="86">
        <f t="shared" si="20"/>
        <v>-27193.018258994023</v>
      </c>
      <c r="J32" s="86">
        <f t="shared" si="20"/>
        <v>40761.206409623352</v>
      </c>
      <c r="K32" s="86">
        <f t="shared" si="20"/>
        <v>-17040.010348122611</v>
      </c>
      <c r="L32" s="86">
        <f t="shared" si="20"/>
        <v>18529.097903969217</v>
      </c>
      <c r="M32" s="86">
        <f t="shared" si="20"/>
        <v>54792.681727202937</v>
      </c>
      <c r="N32" s="86">
        <f t="shared" si="20"/>
        <v>39705.360539155765</v>
      </c>
      <c r="O32" s="61">
        <f t="shared" si="20"/>
        <v>0</v>
      </c>
      <c r="P32" s="61">
        <f t="shared" ref="P32:Z32" si="21">P21+P23+P31</f>
        <v>0</v>
      </c>
      <c r="Q32" s="61">
        <f t="shared" si="21"/>
        <v>0</v>
      </c>
      <c r="R32" s="61">
        <f t="shared" si="21"/>
        <v>0</v>
      </c>
      <c r="S32" s="61">
        <f t="shared" si="21"/>
        <v>0</v>
      </c>
      <c r="T32" s="61">
        <f t="shared" si="21"/>
        <v>0</v>
      </c>
      <c r="U32" s="61">
        <f t="shared" si="21"/>
        <v>0</v>
      </c>
      <c r="V32" s="61">
        <f t="shared" si="21"/>
        <v>0</v>
      </c>
      <c r="W32" s="61">
        <f t="shared" si="21"/>
        <v>0</v>
      </c>
      <c r="X32" s="61">
        <f t="shared" si="21"/>
        <v>0</v>
      </c>
      <c r="Y32" s="61">
        <f t="shared" si="21"/>
        <v>0</v>
      </c>
      <c r="Z32" s="61">
        <f t="shared" si="21"/>
        <v>0</v>
      </c>
    </row>
    <row r="33" spans="1:26" s="2" customFormat="1" ht="14.4" x14ac:dyDescent="0.2">
      <c r="A33" s="19" t="s">
        <v>46</v>
      </c>
      <c r="B33" s="89">
        <f t="shared" ref="B33:Z33" si="22">B32+B2</f>
        <v>9007.3539842835198</v>
      </c>
      <c r="C33" s="89">
        <f t="shared" si="22"/>
        <v>970.11401264363667</v>
      </c>
      <c r="D33" s="89">
        <f t="shared" si="22"/>
        <v>69128.378897873175</v>
      </c>
      <c r="E33" s="89">
        <f t="shared" si="22"/>
        <v>61973.066677937182</v>
      </c>
      <c r="F33" s="89">
        <f t="shared" si="22"/>
        <v>3377.1198957684828</v>
      </c>
      <c r="G33" s="89">
        <f t="shared" si="22"/>
        <v>3199.7224747239125</v>
      </c>
      <c r="H33" s="89">
        <f t="shared" si="22"/>
        <v>36410.411294655423</v>
      </c>
      <c r="I33" s="89">
        <f t="shared" si="22"/>
        <v>9217.3930356614001</v>
      </c>
      <c r="J33" s="89">
        <f t="shared" si="22"/>
        <v>49978.599445284752</v>
      </c>
      <c r="K33" s="89">
        <f t="shared" si="22"/>
        <v>32938.589097162141</v>
      </c>
      <c r="L33" s="89">
        <f t="shared" si="22"/>
        <v>51467.687001131359</v>
      </c>
      <c r="M33" s="89">
        <f t="shared" si="22"/>
        <v>106260.36872833429</v>
      </c>
      <c r="N33" s="89">
        <f t="shared" si="22"/>
        <v>145965.72926749004</v>
      </c>
      <c r="O33" s="61">
        <f t="shared" si="22"/>
        <v>0</v>
      </c>
      <c r="P33" s="61">
        <f t="shared" si="22"/>
        <v>0</v>
      </c>
      <c r="Q33" s="61">
        <f t="shared" si="22"/>
        <v>0</v>
      </c>
      <c r="R33" s="61">
        <f t="shared" si="22"/>
        <v>0</v>
      </c>
      <c r="S33" s="61">
        <f t="shared" si="22"/>
        <v>0</v>
      </c>
      <c r="T33" s="61">
        <f t="shared" si="22"/>
        <v>0</v>
      </c>
      <c r="U33" s="61">
        <f t="shared" si="22"/>
        <v>0</v>
      </c>
      <c r="V33" s="61">
        <f t="shared" si="22"/>
        <v>0</v>
      </c>
      <c r="W33" s="61">
        <f t="shared" si="22"/>
        <v>0</v>
      </c>
      <c r="X33" s="61">
        <f t="shared" si="22"/>
        <v>0</v>
      </c>
      <c r="Y33" s="61">
        <f t="shared" si="22"/>
        <v>0</v>
      </c>
      <c r="Z33" s="61">
        <f t="shared" si="22"/>
        <v>0</v>
      </c>
    </row>
  </sheetData>
  <pageMargins left="0.19685039370078741" right="0.19685039370078741" top="0.27559055118110237" bottom="0.27559055118110237" header="0.19685039370078741" footer="0.19685039370078741"/>
  <pageSetup paperSize="9" scale="4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6"/>
  <sheetViews>
    <sheetView workbookViewId="0"/>
  </sheetViews>
  <sheetFormatPr defaultColWidth="8.88671875" defaultRowHeight="15.05" x14ac:dyDescent="0.3"/>
  <cols>
    <col min="1" max="1" width="29.109375" customWidth="1"/>
    <col min="2" max="2" width="10.88671875" customWidth="1"/>
    <col min="3" max="5" width="9.6640625" customWidth="1"/>
    <col min="6" max="6" width="8.88671875" customWidth="1"/>
    <col min="7" max="7" width="9.88671875" customWidth="1"/>
    <col min="8" max="8" width="10.88671875" customWidth="1"/>
    <col min="9" max="9" width="12.109375" customWidth="1"/>
    <col min="10" max="10" width="13" customWidth="1"/>
    <col min="11" max="11" width="11.88671875" customWidth="1"/>
    <col min="12" max="15" width="10" customWidth="1"/>
    <col min="16" max="16" width="10.44140625" customWidth="1"/>
    <col min="17" max="26" width="10.109375" customWidth="1"/>
    <col min="185" max="185" width="65.109375" bestFit="1" customWidth="1"/>
    <col min="186" max="186" width="15.109375" customWidth="1"/>
    <col min="187" max="187" width="14.44140625" customWidth="1"/>
    <col min="188" max="190" width="17.109375" bestFit="1" customWidth="1"/>
    <col min="191" max="191" width="18.88671875" customWidth="1"/>
    <col min="192" max="192" width="19.44140625" customWidth="1"/>
    <col min="193" max="194" width="17.109375" bestFit="1" customWidth="1"/>
    <col min="195" max="195" width="11.44140625" customWidth="1"/>
    <col min="196" max="196" width="13.109375" customWidth="1"/>
    <col min="197" max="197" width="13" customWidth="1"/>
    <col min="198" max="198" width="13.109375" customWidth="1"/>
    <col min="199" max="199" width="11.44140625" customWidth="1"/>
    <col min="200" max="200" width="13.44140625" customWidth="1"/>
    <col min="201" max="201" width="12.44140625" customWidth="1"/>
    <col min="202" max="202" width="12.5546875" customWidth="1"/>
    <col min="441" max="441" width="65.109375" bestFit="1" customWidth="1"/>
    <col min="442" max="442" width="15.109375" customWidth="1"/>
    <col min="443" max="443" width="14.44140625" customWidth="1"/>
    <col min="444" max="446" width="17.109375" bestFit="1" customWidth="1"/>
    <col min="447" max="447" width="18.88671875" customWidth="1"/>
    <col min="448" max="448" width="19.44140625" customWidth="1"/>
    <col min="449" max="450" width="17.109375" bestFit="1" customWidth="1"/>
    <col min="451" max="451" width="11.44140625" customWidth="1"/>
    <col min="452" max="452" width="13.109375" customWidth="1"/>
    <col min="453" max="453" width="13" customWidth="1"/>
    <col min="454" max="454" width="13.109375" customWidth="1"/>
    <col min="455" max="455" width="11.44140625" customWidth="1"/>
    <col min="456" max="456" width="13.44140625" customWidth="1"/>
    <col min="457" max="457" width="12.44140625" customWidth="1"/>
    <col min="458" max="458" width="12.5546875" customWidth="1"/>
    <col min="697" max="697" width="65.109375" bestFit="1" customWidth="1"/>
    <col min="698" max="698" width="15.109375" customWidth="1"/>
    <col min="699" max="699" width="14.44140625" customWidth="1"/>
    <col min="700" max="702" width="17.109375" bestFit="1" customWidth="1"/>
    <col min="703" max="703" width="18.88671875" customWidth="1"/>
    <col min="704" max="704" width="19.44140625" customWidth="1"/>
    <col min="705" max="706" width="17.109375" bestFit="1" customWidth="1"/>
    <col min="707" max="707" width="11.44140625" customWidth="1"/>
    <col min="708" max="708" width="13.109375" customWidth="1"/>
    <col min="709" max="709" width="13" customWidth="1"/>
    <col min="710" max="710" width="13.109375" customWidth="1"/>
    <col min="711" max="711" width="11.44140625" customWidth="1"/>
    <col min="712" max="712" width="13.44140625" customWidth="1"/>
    <col min="713" max="713" width="12.44140625" customWidth="1"/>
    <col min="714" max="714" width="12.5546875" customWidth="1"/>
    <col min="953" max="953" width="65.109375" bestFit="1" customWidth="1"/>
    <col min="954" max="954" width="15.109375" customWidth="1"/>
    <col min="955" max="955" width="14.44140625" customWidth="1"/>
    <col min="956" max="958" width="17.109375" bestFit="1" customWidth="1"/>
    <col min="959" max="959" width="18.88671875" customWidth="1"/>
    <col min="960" max="960" width="19.44140625" customWidth="1"/>
    <col min="961" max="962" width="17.109375" bestFit="1" customWidth="1"/>
    <col min="963" max="963" width="11.44140625" customWidth="1"/>
    <col min="964" max="964" width="13.109375" customWidth="1"/>
    <col min="965" max="965" width="13" customWidth="1"/>
    <col min="966" max="966" width="13.109375" customWidth="1"/>
    <col min="967" max="967" width="11.44140625" customWidth="1"/>
    <col min="968" max="968" width="13.44140625" customWidth="1"/>
    <col min="969" max="969" width="12.44140625" customWidth="1"/>
    <col min="970" max="970" width="12.5546875" customWidth="1"/>
    <col min="1209" max="1209" width="65.109375" bestFit="1" customWidth="1"/>
    <col min="1210" max="1210" width="15.109375" customWidth="1"/>
    <col min="1211" max="1211" width="14.44140625" customWidth="1"/>
    <col min="1212" max="1214" width="17.109375" bestFit="1" customWidth="1"/>
    <col min="1215" max="1215" width="18.88671875" customWidth="1"/>
    <col min="1216" max="1216" width="19.44140625" customWidth="1"/>
    <col min="1217" max="1218" width="17.109375" bestFit="1" customWidth="1"/>
    <col min="1219" max="1219" width="11.44140625" customWidth="1"/>
    <col min="1220" max="1220" width="13.109375" customWidth="1"/>
    <col min="1221" max="1221" width="13" customWidth="1"/>
    <col min="1222" max="1222" width="13.109375" customWidth="1"/>
    <col min="1223" max="1223" width="11.44140625" customWidth="1"/>
    <col min="1224" max="1224" width="13.44140625" customWidth="1"/>
    <col min="1225" max="1225" width="12.44140625" customWidth="1"/>
    <col min="1226" max="1226" width="12.5546875" customWidth="1"/>
    <col min="1465" max="1465" width="65.109375" bestFit="1" customWidth="1"/>
    <col min="1466" max="1466" width="15.109375" customWidth="1"/>
    <col min="1467" max="1467" width="14.44140625" customWidth="1"/>
    <col min="1468" max="1470" width="17.109375" bestFit="1" customWidth="1"/>
    <col min="1471" max="1471" width="18.88671875" customWidth="1"/>
    <col min="1472" max="1472" width="19.44140625" customWidth="1"/>
    <col min="1473" max="1474" width="17.109375" bestFit="1" customWidth="1"/>
    <col min="1475" max="1475" width="11.44140625" customWidth="1"/>
    <col min="1476" max="1476" width="13.109375" customWidth="1"/>
    <col min="1477" max="1477" width="13" customWidth="1"/>
    <col min="1478" max="1478" width="13.109375" customWidth="1"/>
    <col min="1479" max="1479" width="11.44140625" customWidth="1"/>
    <col min="1480" max="1480" width="13.44140625" customWidth="1"/>
    <col min="1481" max="1481" width="12.44140625" customWidth="1"/>
    <col min="1482" max="1482" width="12.5546875" customWidth="1"/>
    <col min="1721" max="1721" width="65.109375" bestFit="1" customWidth="1"/>
    <col min="1722" max="1722" width="15.109375" customWidth="1"/>
    <col min="1723" max="1723" width="14.44140625" customWidth="1"/>
    <col min="1724" max="1726" width="17.109375" bestFit="1" customWidth="1"/>
    <col min="1727" max="1727" width="18.88671875" customWidth="1"/>
    <col min="1728" max="1728" width="19.44140625" customWidth="1"/>
    <col min="1729" max="1730" width="17.109375" bestFit="1" customWidth="1"/>
    <col min="1731" max="1731" width="11.44140625" customWidth="1"/>
    <col min="1732" max="1732" width="13.109375" customWidth="1"/>
    <col min="1733" max="1733" width="13" customWidth="1"/>
    <col min="1734" max="1734" width="13.109375" customWidth="1"/>
    <col min="1735" max="1735" width="11.44140625" customWidth="1"/>
    <col min="1736" max="1736" width="13.44140625" customWidth="1"/>
    <col min="1737" max="1737" width="12.44140625" customWidth="1"/>
    <col min="1738" max="1738" width="12.5546875" customWidth="1"/>
    <col min="1977" max="1977" width="65.109375" bestFit="1" customWidth="1"/>
    <col min="1978" max="1978" width="15.109375" customWidth="1"/>
    <col min="1979" max="1979" width="14.44140625" customWidth="1"/>
    <col min="1980" max="1982" width="17.109375" bestFit="1" customWidth="1"/>
    <col min="1983" max="1983" width="18.88671875" customWidth="1"/>
    <col min="1984" max="1984" width="19.44140625" customWidth="1"/>
    <col min="1985" max="1986" width="17.109375" bestFit="1" customWidth="1"/>
    <col min="1987" max="1987" width="11.44140625" customWidth="1"/>
    <col min="1988" max="1988" width="13.109375" customWidth="1"/>
    <col min="1989" max="1989" width="13" customWidth="1"/>
    <col min="1990" max="1990" width="13.109375" customWidth="1"/>
    <col min="1991" max="1991" width="11.44140625" customWidth="1"/>
    <col min="1992" max="1992" width="13.44140625" customWidth="1"/>
    <col min="1993" max="1993" width="12.44140625" customWidth="1"/>
    <col min="1994" max="1994" width="12.5546875" customWidth="1"/>
    <col min="2233" max="2233" width="65.109375" bestFit="1" customWidth="1"/>
    <col min="2234" max="2234" width="15.109375" customWidth="1"/>
    <col min="2235" max="2235" width="14.44140625" customWidth="1"/>
    <col min="2236" max="2238" width="17.109375" bestFit="1" customWidth="1"/>
    <col min="2239" max="2239" width="18.88671875" customWidth="1"/>
    <col min="2240" max="2240" width="19.44140625" customWidth="1"/>
    <col min="2241" max="2242" width="17.109375" bestFit="1" customWidth="1"/>
    <col min="2243" max="2243" width="11.44140625" customWidth="1"/>
    <col min="2244" max="2244" width="13.109375" customWidth="1"/>
    <col min="2245" max="2245" width="13" customWidth="1"/>
    <col min="2246" max="2246" width="13.109375" customWidth="1"/>
    <col min="2247" max="2247" width="11.44140625" customWidth="1"/>
    <col min="2248" max="2248" width="13.44140625" customWidth="1"/>
    <col min="2249" max="2249" width="12.44140625" customWidth="1"/>
    <col min="2250" max="2250" width="12.5546875" customWidth="1"/>
    <col min="2489" max="2489" width="65.109375" bestFit="1" customWidth="1"/>
    <col min="2490" max="2490" width="15.109375" customWidth="1"/>
    <col min="2491" max="2491" width="14.44140625" customWidth="1"/>
    <col min="2492" max="2494" width="17.109375" bestFit="1" customWidth="1"/>
    <col min="2495" max="2495" width="18.88671875" customWidth="1"/>
    <col min="2496" max="2496" width="19.44140625" customWidth="1"/>
    <col min="2497" max="2498" width="17.109375" bestFit="1" customWidth="1"/>
    <col min="2499" max="2499" width="11.44140625" customWidth="1"/>
    <col min="2500" max="2500" width="13.109375" customWidth="1"/>
    <col min="2501" max="2501" width="13" customWidth="1"/>
    <col min="2502" max="2502" width="13.109375" customWidth="1"/>
    <col min="2503" max="2503" width="11.44140625" customWidth="1"/>
    <col min="2504" max="2504" width="13.44140625" customWidth="1"/>
    <col min="2505" max="2505" width="12.44140625" customWidth="1"/>
    <col min="2506" max="2506" width="12.5546875" customWidth="1"/>
    <col min="2745" max="2745" width="65.109375" bestFit="1" customWidth="1"/>
    <col min="2746" max="2746" width="15.109375" customWidth="1"/>
    <col min="2747" max="2747" width="14.44140625" customWidth="1"/>
    <col min="2748" max="2750" width="17.109375" bestFit="1" customWidth="1"/>
    <col min="2751" max="2751" width="18.88671875" customWidth="1"/>
    <col min="2752" max="2752" width="19.44140625" customWidth="1"/>
    <col min="2753" max="2754" width="17.109375" bestFit="1" customWidth="1"/>
    <col min="2755" max="2755" width="11.44140625" customWidth="1"/>
    <col min="2756" max="2756" width="13.109375" customWidth="1"/>
    <col min="2757" max="2757" width="13" customWidth="1"/>
    <col min="2758" max="2758" width="13.109375" customWidth="1"/>
    <col min="2759" max="2759" width="11.44140625" customWidth="1"/>
    <col min="2760" max="2760" width="13.44140625" customWidth="1"/>
    <col min="2761" max="2761" width="12.44140625" customWidth="1"/>
    <col min="2762" max="2762" width="12.5546875" customWidth="1"/>
    <col min="3001" max="3001" width="65.109375" bestFit="1" customWidth="1"/>
    <col min="3002" max="3002" width="15.109375" customWidth="1"/>
    <col min="3003" max="3003" width="14.44140625" customWidth="1"/>
    <col min="3004" max="3006" width="17.109375" bestFit="1" customWidth="1"/>
    <col min="3007" max="3007" width="18.88671875" customWidth="1"/>
    <col min="3008" max="3008" width="19.44140625" customWidth="1"/>
    <col min="3009" max="3010" width="17.109375" bestFit="1" customWidth="1"/>
    <col min="3011" max="3011" width="11.44140625" customWidth="1"/>
    <col min="3012" max="3012" width="13.109375" customWidth="1"/>
    <col min="3013" max="3013" width="13" customWidth="1"/>
    <col min="3014" max="3014" width="13.109375" customWidth="1"/>
    <col min="3015" max="3015" width="11.44140625" customWidth="1"/>
    <col min="3016" max="3016" width="13.44140625" customWidth="1"/>
    <col min="3017" max="3017" width="12.44140625" customWidth="1"/>
    <col min="3018" max="3018" width="12.5546875" customWidth="1"/>
    <col min="3257" max="3257" width="65.109375" bestFit="1" customWidth="1"/>
    <col min="3258" max="3258" width="15.109375" customWidth="1"/>
    <col min="3259" max="3259" width="14.44140625" customWidth="1"/>
    <col min="3260" max="3262" width="17.109375" bestFit="1" customWidth="1"/>
    <col min="3263" max="3263" width="18.88671875" customWidth="1"/>
    <col min="3264" max="3264" width="19.44140625" customWidth="1"/>
    <col min="3265" max="3266" width="17.109375" bestFit="1" customWidth="1"/>
    <col min="3267" max="3267" width="11.44140625" customWidth="1"/>
    <col min="3268" max="3268" width="13.109375" customWidth="1"/>
    <col min="3269" max="3269" width="13" customWidth="1"/>
    <col min="3270" max="3270" width="13.109375" customWidth="1"/>
    <col min="3271" max="3271" width="11.44140625" customWidth="1"/>
    <col min="3272" max="3272" width="13.44140625" customWidth="1"/>
    <col min="3273" max="3273" width="12.44140625" customWidth="1"/>
    <col min="3274" max="3274" width="12.5546875" customWidth="1"/>
    <col min="3513" max="3513" width="65.109375" bestFit="1" customWidth="1"/>
    <col min="3514" max="3514" width="15.109375" customWidth="1"/>
    <col min="3515" max="3515" width="14.44140625" customWidth="1"/>
    <col min="3516" max="3518" width="17.109375" bestFit="1" customWidth="1"/>
    <col min="3519" max="3519" width="18.88671875" customWidth="1"/>
    <col min="3520" max="3520" width="19.44140625" customWidth="1"/>
    <col min="3521" max="3522" width="17.109375" bestFit="1" customWidth="1"/>
    <col min="3523" max="3523" width="11.44140625" customWidth="1"/>
    <col min="3524" max="3524" width="13.109375" customWidth="1"/>
    <col min="3525" max="3525" width="13" customWidth="1"/>
    <col min="3526" max="3526" width="13.109375" customWidth="1"/>
    <col min="3527" max="3527" width="11.44140625" customWidth="1"/>
    <col min="3528" max="3528" width="13.44140625" customWidth="1"/>
    <col min="3529" max="3529" width="12.44140625" customWidth="1"/>
    <col min="3530" max="3530" width="12.5546875" customWidth="1"/>
    <col min="3769" max="3769" width="65.109375" bestFit="1" customWidth="1"/>
    <col min="3770" max="3770" width="15.109375" customWidth="1"/>
    <col min="3771" max="3771" width="14.44140625" customWidth="1"/>
    <col min="3772" max="3774" width="17.109375" bestFit="1" customWidth="1"/>
    <col min="3775" max="3775" width="18.88671875" customWidth="1"/>
    <col min="3776" max="3776" width="19.44140625" customWidth="1"/>
    <col min="3777" max="3778" width="17.109375" bestFit="1" customWidth="1"/>
    <col min="3779" max="3779" width="11.44140625" customWidth="1"/>
    <col min="3780" max="3780" width="13.109375" customWidth="1"/>
    <col min="3781" max="3781" width="13" customWidth="1"/>
    <col min="3782" max="3782" width="13.109375" customWidth="1"/>
    <col min="3783" max="3783" width="11.44140625" customWidth="1"/>
    <col min="3784" max="3784" width="13.44140625" customWidth="1"/>
    <col min="3785" max="3785" width="12.44140625" customWidth="1"/>
    <col min="3786" max="3786" width="12.5546875" customWidth="1"/>
    <col min="4025" max="4025" width="65.109375" bestFit="1" customWidth="1"/>
    <col min="4026" max="4026" width="15.109375" customWidth="1"/>
    <col min="4027" max="4027" width="14.44140625" customWidth="1"/>
    <col min="4028" max="4030" width="17.109375" bestFit="1" customWidth="1"/>
    <col min="4031" max="4031" width="18.88671875" customWidth="1"/>
    <col min="4032" max="4032" width="19.44140625" customWidth="1"/>
    <col min="4033" max="4034" width="17.109375" bestFit="1" customWidth="1"/>
    <col min="4035" max="4035" width="11.44140625" customWidth="1"/>
    <col min="4036" max="4036" width="13.109375" customWidth="1"/>
    <col min="4037" max="4037" width="13" customWidth="1"/>
    <col min="4038" max="4038" width="13.109375" customWidth="1"/>
    <col min="4039" max="4039" width="11.44140625" customWidth="1"/>
    <col min="4040" max="4040" width="13.44140625" customWidth="1"/>
    <col min="4041" max="4041" width="12.44140625" customWidth="1"/>
    <col min="4042" max="4042" width="12.5546875" customWidth="1"/>
    <col min="4281" max="4281" width="65.109375" bestFit="1" customWidth="1"/>
    <col min="4282" max="4282" width="15.109375" customWidth="1"/>
    <col min="4283" max="4283" width="14.44140625" customWidth="1"/>
    <col min="4284" max="4286" width="17.109375" bestFit="1" customWidth="1"/>
    <col min="4287" max="4287" width="18.88671875" customWidth="1"/>
    <col min="4288" max="4288" width="19.44140625" customWidth="1"/>
    <col min="4289" max="4290" width="17.109375" bestFit="1" customWidth="1"/>
    <col min="4291" max="4291" width="11.44140625" customWidth="1"/>
    <col min="4292" max="4292" width="13.109375" customWidth="1"/>
    <col min="4293" max="4293" width="13" customWidth="1"/>
    <col min="4294" max="4294" width="13.109375" customWidth="1"/>
    <col min="4295" max="4295" width="11.44140625" customWidth="1"/>
    <col min="4296" max="4296" width="13.44140625" customWidth="1"/>
    <col min="4297" max="4297" width="12.44140625" customWidth="1"/>
    <col min="4298" max="4298" width="12.5546875" customWidth="1"/>
    <col min="4537" max="4537" width="65.109375" bestFit="1" customWidth="1"/>
    <col min="4538" max="4538" width="15.109375" customWidth="1"/>
    <col min="4539" max="4539" width="14.44140625" customWidth="1"/>
    <col min="4540" max="4542" width="17.109375" bestFit="1" customWidth="1"/>
    <col min="4543" max="4543" width="18.88671875" customWidth="1"/>
    <col min="4544" max="4544" width="19.44140625" customWidth="1"/>
    <col min="4545" max="4546" width="17.109375" bestFit="1" customWidth="1"/>
    <col min="4547" max="4547" width="11.44140625" customWidth="1"/>
    <col min="4548" max="4548" width="13.109375" customWidth="1"/>
    <col min="4549" max="4549" width="13" customWidth="1"/>
    <col min="4550" max="4550" width="13.109375" customWidth="1"/>
    <col min="4551" max="4551" width="11.44140625" customWidth="1"/>
    <col min="4552" max="4552" width="13.44140625" customWidth="1"/>
    <col min="4553" max="4553" width="12.44140625" customWidth="1"/>
    <col min="4554" max="4554" width="12.5546875" customWidth="1"/>
    <col min="4793" max="4793" width="65.109375" bestFit="1" customWidth="1"/>
    <col min="4794" max="4794" width="15.109375" customWidth="1"/>
    <col min="4795" max="4795" width="14.44140625" customWidth="1"/>
    <col min="4796" max="4798" width="17.109375" bestFit="1" customWidth="1"/>
    <col min="4799" max="4799" width="18.88671875" customWidth="1"/>
    <col min="4800" max="4800" width="19.44140625" customWidth="1"/>
    <col min="4801" max="4802" width="17.109375" bestFit="1" customWidth="1"/>
    <col min="4803" max="4803" width="11.44140625" customWidth="1"/>
    <col min="4804" max="4804" width="13.109375" customWidth="1"/>
    <col min="4805" max="4805" width="13" customWidth="1"/>
    <col min="4806" max="4806" width="13.109375" customWidth="1"/>
    <col min="4807" max="4807" width="11.44140625" customWidth="1"/>
    <col min="4808" max="4808" width="13.44140625" customWidth="1"/>
    <col min="4809" max="4809" width="12.44140625" customWidth="1"/>
    <col min="4810" max="4810" width="12.5546875" customWidth="1"/>
    <col min="5049" max="5049" width="65.109375" bestFit="1" customWidth="1"/>
    <col min="5050" max="5050" width="15.109375" customWidth="1"/>
    <col min="5051" max="5051" width="14.44140625" customWidth="1"/>
    <col min="5052" max="5054" width="17.109375" bestFit="1" customWidth="1"/>
    <col min="5055" max="5055" width="18.88671875" customWidth="1"/>
    <col min="5056" max="5056" width="19.44140625" customWidth="1"/>
    <col min="5057" max="5058" width="17.109375" bestFit="1" customWidth="1"/>
    <col min="5059" max="5059" width="11.44140625" customWidth="1"/>
    <col min="5060" max="5060" width="13.109375" customWidth="1"/>
    <col min="5061" max="5061" width="13" customWidth="1"/>
    <col min="5062" max="5062" width="13.109375" customWidth="1"/>
    <col min="5063" max="5063" width="11.44140625" customWidth="1"/>
    <col min="5064" max="5064" width="13.44140625" customWidth="1"/>
    <col min="5065" max="5065" width="12.44140625" customWidth="1"/>
    <col min="5066" max="5066" width="12.5546875" customWidth="1"/>
    <col min="5305" max="5305" width="65.109375" bestFit="1" customWidth="1"/>
    <col min="5306" max="5306" width="15.109375" customWidth="1"/>
    <col min="5307" max="5307" width="14.44140625" customWidth="1"/>
    <col min="5308" max="5310" width="17.109375" bestFit="1" customWidth="1"/>
    <col min="5311" max="5311" width="18.88671875" customWidth="1"/>
    <col min="5312" max="5312" width="19.44140625" customWidth="1"/>
    <col min="5313" max="5314" width="17.109375" bestFit="1" customWidth="1"/>
    <col min="5315" max="5315" width="11.44140625" customWidth="1"/>
    <col min="5316" max="5316" width="13.109375" customWidth="1"/>
    <col min="5317" max="5317" width="13" customWidth="1"/>
    <col min="5318" max="5318" width="13.109375" customWidth="1"/>
    <col min="5319" max="5319" width="11.44140625" customWidth="1"/>
    <col min="5320" max="5320" width="13.44140625" customWidth="1"/>
    <col min="5321" max="5321" width="12.44140625" customWidth="1"/>
    <col min="5322" max="5322" width="12.5546875" customWidth="1"/>
    <col min="5561" max="5561" width="65.109375" bestFit="1" customWidth="1"/>
    <col min="5562" max="5562" width="15.109375" customWidth="1"/>
    <col min="5563" max="5563" width="14.44140625" customWidth="1"/>
    <col min="5564" max="5566" width="17.109375" bestFit="1" customWidth="1"/>
    <col min="5567" max="5567" width="18.88671875" customWidth="1"/>
    <col min="5568" max="5568" width="19.44140625" customWidth="1"/>
    <col min="5569" max="5570" width="17.109375" bestFit="1" customWidth="1"/>
    <col min="5571" max="5571" width="11.44140625" customWidth="1"/>
    <col min="5572" max="5572" width="13.109375" customWidth="1"/>
    <col min="5573" max="5573" width="13" customWidth="1"/>
    <col min="5574" max="5574" width="13.109375" customWidth="1"/>
    <col min="5575" max="5575" width="11.44140625" customWidth="1"/>
    <col min="5576" max="5576" width="13.44140625" customWidth="1"/>
    <col min="5577" max="5577" width="12.44140625" customWidth="1"/>
    <col min="5578" max="5578" width="12.5546875" customWidth="1"/>
    <col min="5817" max="5817" width="65.109375" bestFit="1" customWidth="1"/>
    <col min="5818" max="5818" width="15.109375" customWidth="1"/>
    <col min="5819" max="5819" width="14.44140625" customWidth="1"/>
    <col min="5820" max="5822" width="17.109375" bestFit="1" customWidth="1"/>
    <col min="5823" max="5823" width="18.88671875" customWidth="1"/>
    <col min="5824" max="5824" width="19.44140625" customWidth="1"/>
    <col min="5825" max="5826" width="17.109375" bestFit="1" customWidth="1"/>
    <col min="5827" max="5827" width="11.44140625" customWidth="1"/>
    <col min="5828" max="5828" width="13.109375" customWidth="1"/>
    <col min="5829" max="5829" width="13" customWidth="1"/>
    <col min="5830" max="5830" width="13.109375" customWidth="1"/>
    <col min="5831" max="5831" width="11.44140625" customWidth="1"/>
    <col min="5832" max="5832" width="13.44140625" customWidth="1"/>
    <col min="5833" max="5833" width="12.44140625" customWidth="1"/>
    <col min="5834" max="5834" width="12.5546875" customWidth="1"/>
    <col min="6073" max="6073" width="65.109375" bestFit="1" customWidth="1"/>
    <col min="6074" max="6074" width="15.109375" customWidth="1"/>
    <col min="6075" max="6075" width="14.44140625" customWidth="1"/>
    <col min="6076" max="6078" width="17.109375" bestFit="1" customWidth="1"/>
    <col min="6079" max="6079" width="18.88671875" customWidth="1"/>
    <col min="6080" max="6080" width="19.44140625" customWidth="1"/>
    <col min="6081" max="6082" width="17.109375" bestFit="1" customWidth="1"/>
    <col min="6083" max="6083" width="11.44140625" customWidth="1"/>
    <col min="6084" max="6084" width="13.109375" customWidth="1"/>
    <col min="6085" max="6085" width="13" customWidth="1"/>
    <col min="6086" max="6086" width="13.109375" customWidth="1"/>
    <col min="6087" max="6087" width="11.44140625" customWidth="1"/>
    <col min="6088" max="6088" width="13.44140625" customWidth="1"/>
    <col min="6089" max="6089" width="12.44140625" customWidth="1"/>
    <col min="6090" max="6090" width="12.5546875" customWidth="1"/>
    <col min="6329" max="6329" width="65.109375" bestFit="1" customWidth="1"/>
    <col min="6330" max="6330" width="15.109375" customWidth="1"/>
    <col min="6331" max="6331" width="14.44140625" customWidth="1"/>
    <col min="6332" max="6334" width="17.109375" bestFit="1" customWidth="1"/>
    <col min="6335" max="6335" width="18.88671875" customWidth="1"/>
    <col min="6336" max="6336" width="19.44140625" customWidth="1"/>
    <col min="6337" max="6338" width="17.109375" bestFit="1" customWidth="1"/>
    <col min="6339" max="6339" width="11.44140625" customWidth="1"/>
    <col min="6340" max="6340" width="13.109375" customWidth="1"/>
    <col min="6341" max="6341" width="13" customWidth="1"/>
    <col min="6342" max="6342" width="13.109375" customWidth="1"/>
    <col min="6343" max="6343" width="11.44140625" customWidth="1"/>
    <col min="6344" max="6344" width="13.44140625" customWidth="1"/>
    <col min="6345" max="6345" width="12.44140625" customWidth="1"/>
    <col min="6346" max="6346" width="12.5546875" customWidth="1"/>
    <col min="6585" max="6585" width="65.109375" bestFit="1" customWidth="1"/>
    <col min="6586" max="6586" width="15.109375" customWidth="1"/>
    <col min="6587" max="6587" width="14.44140625" customWidth="1"/>
    <col min="6588" max="6590" width="17.109375" bestFit="1" customWidth="1"/>
    <col min="6591" max="6591" width="18.88671875" customWidth="1"/>
    <col min="6592" max="6592" width="19.44140625" customWidth="1"/>
    <col min="6593" max="6594" width="17.109375" bestFit="1" customWidth="1"/>
    <col min="6595" max="6595" width="11.44140625" customWidth="1"/>
    <col min="6596" max="6596" width="13.109375" customWidth="1"/>
    <col min="6597" max="6597" width="13" customWidth="1"/>
    <col min="6598" max="6598" width="13.109375" customWidth="1"/>
    <col min="6599" max="6599" width="11.44140625" customWidth="1"/>
    <col min="6600" max="6600" width="13.44140625" customWidth="1"/>
    <col min="6601" max="6601" width="12.44140625" customWidth="1"/>
    <col min="6602" max="6602" width="12.5546875" customWidth="1"/>
    <col min="6841" max="6841" width="65.109375" bestFit="1" customWidth="1"/>
    <col min="6842" max="6842" width="15.109375" customWidth="1"/>
    <col min="6843" max="6843" width="14.44140625" customWidth="1"/>
    <col min="6844" max="6846" width="17.109375" bestFit="1" customWidth="1"/>
    <col min="6847" max="6847" width="18.88671875" customWidth="1"/>
    <col min="6848" max="6848" width="19.44140625" customWidth="1"/>
    <col min="6849" max="6850" width="17.109375" bestFit="1" customWidth="1"/>
    <col min="6851" max="6851" width="11.44140625" customWidth="1"/>
    <col min="6852" max="6852" width="13.109375" customWidth="1"/>
    <col min="6853" max="6853" width="13" customWidth="1"/>
    <col min="6854" max="6854" width="13.109375" customWidth="1"/>
    <col min="6855" max="6855" width="11.44140625" customWidth="1"/>
    <col min="6856" max="6856" width="13.44140625" customWidth="1"/>
    <col min="6857" max="6857" width="12.44140625" customWidth="1"/>
    <col min="6858" max="6858" width="12.5546875" customWidth="1"/>
    <col min="7097" max="7097" width="65.109375" bestFit="1" customWidth="1"/>
    <col min="7098" max="7098" width="15.109375" customWidth="1"/>
    <col min="7099" max="7099" width="14.44140625" customWidth="1"/>
    <col min="7100" max="7102" width="17.109375" bestFit="1" customWidth="1"/>
    <col min="7103" max="7103" width="18.88671875" customWidth="1"/>
    <col min="7104" max="7104" width="19.44140625" customWidth="1"/>
    <col min="7105" max="7106" width="17.109375" bestFit="1" customWidth="1"/>
    <col min="7107" max="7107" width="11.44140625" customWidth="1"/>
    <col min="7108" max="7108" width="13.109375" customWidth="1"/>
    <col min="7109" max="7109" width="13" customWidth="1"/>
    <col min="7110" max="7110" width="13.109375" customWidth="1"/>
    <col min="7111" max="7111" width="11.44140625" customWidth="1"/>
    <col min="7112" max="7112" width="13.44140625" customWidth="1"/>
    <col min="7113" max="7113" width="12.44140625" customWidth="1"/>
    <col min="7114" max="7114" width="12.5546875" customWidth="1"/>
    <col min="7353" max="7353" width="65.109375" bestFit="1" customWidth="1"/>
    <col min="7354" max="7354" width="15.109375" customWidth="1"/>
    <col min="7355" max="7355" width="14.44140625" customWidth="1"/>
    <col min="7356" max="7358" width="17.109375" bestFit="1" customWidth="1"/>
    <col min="7359" max="7359" width="18.88671875" customWidth="1"/>
    <col min="7360" max="7360" width="19.44140625" customWidth="1"/>
    <col min="7361" max="7362" width="17.109375" bestFit="1" customWidth="1"/>
    <col min="7363" max="7363" width="11.44140625" customWidth="1"/>
    <col min="7364" max="7364" width="13.109375" customWidth="1"/>
    <col min="7365" max="7365" width="13" customWidth="1"/>
    <col min="7366" max="7366" width="13.109375" customWidth="1"/>
    <col min="7367" max="7367" width="11.44140625" customWidth="1"/>
    <col min="7368" max="7368" width="13.44140625" customWidth="1"/>
    <col min="7369" max="7369" width="12.44140625" customWidth="1"/>
    <col min="7370" max="7370" width="12.5546875" customWidth="1"/>
    <col min="7609" max="7609" width="65.109375" bestFit="1" customWidth="1"/>
    <col min="7610" max="7610" width="15.109375" customWidth="1"/>
    <col min="7611" max="7611" width="14.44140625" customWidth="1"/>
    <col min="7612" max="7614" width="17.109375" bestFit="1" customWidth="1"/>
    <col min="7615" max="7615" width="18.88671875" customWidth="1"/>
    <col min="7616" max="7616" width="19.44140625" customWidth="1"/>
    <col min="7617" max="7618" width="17.109375" bestFit="1" customWidth="1"/>
    <col min="7619" max="7619" width="11.44140625" customWidth="1"/>
    <col min="7620" max="7620" width="13.109375" customWidth="1"/>
    <col min="7621" max="7621" width="13" customWidth="1"/>
    <col min="7622" max="7622" width="13.109375" customWidth="1"/>
    <col min="7623" max="7623" width="11.44140625" customWidth="1"/>
    <col min="7624" max="7624" width="13.44140625" customWidth="1"/>
    <col min="7625" max="7625" width="12.44140625" customWidth="1"/>
    <col min="7626" max="7626" width="12.5546875" customWidth="1"/>
    <col min="7865" max="7865" width="65.109375" bestFit="1" customWidth="1"/>
    <col min="7866" max="7866" width="15.109375" customWidth="1"/>
    <col min="7867" max="7867" width="14.44140625" customWidth="1"/>
    <col min="7868" max="7870" width="17.109375" bestFit="1" customWidth="1"/>
    <col min="7871" max="7871" width="18.88671875" customWidth="1"/>
    <col min="7872" max="7872" width="19.44140625" customWidth="1"/>
    <col min="7873" max="7874" width="17.109375" bestFit="1" customWidth="1"/>
    <col min="7875" max="7875" width="11.44140625" customWidth="1"/>
    <col min="7876" max="7876" width="13.109375" customWidth="1"/>
    <col min="7877" max="7877" width="13" customWidth="1"/>
    <col min="7878" max="7878" width="13.109375" customWidth="1"/>
    <col min="7879" max="7879" width="11.44140625" customWidth="1"/>
    <col min="7880" max="7880" width="13.44140625" customWidth="1"/>
    <col min="7881" max="7881" width="12.44140625" customWidth="1"/>
    <col min="7882" max="7882" width="12.5546875" customWidth="1"/>
    <col min="8121" max="8121" width="65.109375" bestFit="1" customWidth="1"/>
    <col min="8122" max="8122" width="15.109375" customWidth="1"/>
    <col min="8123" max="8123" width="14.44140625" customWidth="1"/>
    <col min="8124" max="8126" width="17.109375" bestFit="1" customWidth="1"/>
    <col min="8127" max="8127" width="18.88671875" customWidth="1"/>
    <col min="8128" max="8128" width="19.44140625" customWidth="1"/>
    <col min="8129" max="8130" width="17.109375" bestFit="1" customWidth="1"/>
    <col min="8131" max="8131" width="11.44140625" customWidth="1"/>
    <col min="8132" max="8132" width="13.109375" customWidth="1"/>
    <col min="8133" max="8133" width="13" customWidth="1"/>
    <col min="8134" max="8134" width="13.109375" customWidth="1"/>
    <col min="8135" max="8135" width="11.44140625" customWidth="1"/>
    <col min="8136" max="8136" width="13.44140625" customWidth="1"/>
    <col min="8137" max="8137" width="12.44140625" customWidth="1"/>
    <col min="8138" max="8138" width="12.5546875" customWidth="1"/>
    <col min="8377" max="8377" width="65.109375" bestFit="1" customWidth="1"/>
    <col min="8378" max="8378" width="15.109375" customWidth="1"/>
    <col min="8379" max="8379" width="14.44140625" customWidth="1"/>
    <col min="8380" max="8382" width="17.109375" bestFit="1" customWidth="1"/>
    <col min="8383" max="8383" width="18.88671875" customWidth="1"/>
    <col min="8384" max="8384" width="19.44140625" customWidth="1"/>
    <col min="8385" max="8386" width="17.109375" bestFit="1" customWidth="1"/>
    <col min="8387" max="8387" width="11.44140625" customWidth="1"/>
    <col min="8388" max="8388" width="13.109375" customWidth="1"/>
    <col min="8389" max="8389" width="13" customWidth="1"/>
    <col min="8390" max="8390" width="13.109375" customWidth="1"/>
    <col min="8391" max="8391" width="11.44140625" customWidth="1"/>
    <col min="8392" max="8392" width="13.44140625" customWidth="1"/>
    <col min="8393" max="8393" width="12.44140625" customWidth="1"/>
    <col min="8394" max="8394" width="12.5546875" customWidth="1"/>
    <col min="8633" max="8633" width="65.109375" bestFit="1" customWidth="1"/>
    <col min="8634" max="8634" width="15.109375" customWidth="1"/>
    <col min="8635" max="8635" width="14.44140625" customWidth="1"/>
    <col min="8636" max="8638" width="17.109375" bestFit="1" customWidth="1"/>
    <col min="8639" max="8639" width="18.88671875" customWidth="1"/>
    <col min="8640" max="8640" width="19.44140625" customWidth="1"/>
    <col min="8641" max="8642" width="17.109375" bestFit="1" customWidth="1"/>
    <col min="8643" max="8643" width="11.44140625" customWidth="1"/>
    <col min="8644" max="8644" width="13.109375" customWidth="1"/>
    <col min="8645" max="8645" width="13" customWidth="1"/>
    <col min="8646" max="8646" width="13.109375" customWidth="1"/>
    <col min="8647" max="8647" width="11.44140625" customWidth="1"/>
    <col min="8648" max="8648" width="13.44140625" customWidth="1"/>
    <col min="8649" max="8649" width="12.44140625" customWidth="1"/>
    <col min="8650" max="8650" width="12.5546875" customWidth="1"/>
    <col min="8889" max="8889" width="65.109375" bestFit="1" customWidth="1"/>
    <col min="8890" max="8890" width="15.109375" customWidth="1"/>
    <col min="8891" max="8891" width="14.44140625" customWidth="1"/>
    <col min="8892" max="8894" width="17.109375" bestFit="1" customWidth="1"/>
    <col min="8895" max="8895" width="18.88671875" customWidth="1"/>
    <col min="8896" max="8896" width="19.44140625" customWidth="1"/>
    <col min="8897" max="8898" width="17.109375" bestFit="1" customWidth="1"/>
    <col min="8899" max="8899" width="11.44140625" customWidth="1"/>
    <col min="8900" max="8900" width="13.109375" customWidth="1"/>
    <col min="8901" max="8901" width="13" customWidth="1"/>
    <col min="8902" max="8902" width="13.109375" customWidth="1"/>
    <col min="8903" max="8903" width="11.44140625" customWidth="1"/>
    <col min="8904" max="8904" width="13.44140625" customWidth="1"/>
    <col min="8905" max="8905" width="12.44140625" customWidth="1"/>
    <col min="8906" max="8906" width="12.5546875" customWidth="1"/>
    <col min="9145" max="9145" width="65.109375" bestFit="1" customWidth="1"/>
    <col min="9146" max="9146" width="15.109375" customWidth="1"/>
    <col min="9147" max="9147" width="14.44140625" customWidth="1"/>
    <col min="9148" max="9150" width="17.109375" bestFit="1" customWidth="1"/>
    <col min="9151" max="9151" width="18.88671875" customWidth="1"/>
    <col min="9152" max="9152" width="19.44140625" customWidth="1"/>
    <col min="9153" max="9154" width="17.109375" bestFit="1" customWidth="1"/>
    <col min="9155" max="9155" width="11.44140625" customWidth="1"/>
    <col min="9156" max="9156" width="13.109375" customWidth="1"/>
    <col min="9157" max="9157" width="13" customWidth="1"/>
    <col min="9158" max="9158" width="13.109375" customWidth="1"/>
    <col min="9159" max="9159" width="11.44140625" customWidth="1"/>
    <col min="9160" max="9160" width="13.44140625" customWidth="1"/>
    <col min="9161" max="9161" width="12.44140625" customWidth="1"/>
    <col min="9162" max="9162" width="12.5546875" customWidth="1"/>
    <col min="9401" max="9401" width="65.109375" bestFit="1" customWidth="1"/>
    <col min="9402" max="9402" width="15.109375" customWidth="1"/>
    <col min="9403" max="9403" width="14.44140625" customWidth="1"/>
    <col min="9404" max="9406" width="17.109375" bestFit="1" customWidth="1"/>
    <col min="9407" max="9407" width="18.88671875" customWidth="1"/>
    <col min="9408" max="9408" width="19.44140625" customWidth="1"/>
    <col min="9409" max="9410" width="17.109375" bestFit="1" customWidth="1"/>
    <col min="9411" max="9411" width="11.44140625" customWidth="1"/>
    <col min="9412" max="9412" width="13.109375" customWidth="1"/>
    <col min="9413" max="9413" width="13" customWidth="1"/>
    <col min="9414" max="9414" width="13.109375" customWidth="1"/>
    <col min="9415" max="9415" width="11.44140625" customWidth="1"/>
    <col min="9416" max="9416" width="13.44140625" customWidth="1"/>
    <col min="9417" max="9417" width="12.44140625" customWidth="1"/>
    <col min="9418" max="9418" width="12.5546875" customWidth="1"/>
    <col min="9657" max="9657" width="65.109375" bestFit="1" customWidth="1"/>
    <col min="9658" max="9658" width="15.109375" customWidth="1"/>
    <col min="9659" max="9659" width="14.44140625" customWidth="1"/>
    <col min="9660" max="9662" width="17.109375" bestFit="1" customWidth="1"/>
    <col min="9663" max="9663" width="18.88671875" customWidth="1"/>
    <col min="9664" max="9664" width="19.44140625" customWidth="1"/>
    <col min="9665" max="9666" width="17.109375" bestFit="1" customWidth="1"/>
    <col min="9667" max="9667" width="11.44140625" customWidth="1"/>
    <col min="9668" max="9668" width="13.109375" customWidth="1"/>
    <col min="9669" max="9669" width="13" customWidth="1"/>
    <col min="9670" max="9670" width="13.109375" customWidth="1"/>
    <col min="9671" max="9671" width="11.44140625" customWidth="1"/>
    <col min="9672" max="9672" width="13.44140625" customWidth="1"/>
    <col min="9673" max="9673" width="12.44140625" customWidth="1"/>
    <col min="9674" max="9674" width="12.5546875" customWidth="1"/>
    <col min="9913" max="9913" width="65.109375" bestFit="1" customWidth="1"/>
    <col min="9914" max="9914" width="15.109375" customWidth="1"/>
    <col min="9915" max="9915" width="14.44140625" customWidth="1"/>
    <col min="9916" max="9918" width="17.109375" bestFit="1" customWidth="1"/>
    <col min="9919" max="9919" width="18.88671875" customWidth="1"/>
    <col min="9920" max="9920" width="19.44140625" customWidth="1"/>
    <col min="9921" max="9922" width="17.109375" bestFit="1" customWidth="1"/>
    <col min="9923" max="9923" width="11.44140625" customWidth="1"/>
    <col min="9924" max="9924" width="13.109375" customWidth="1"/>
    <col min="9925" max="9925" width="13" customWidth="1"/>
    <col min="9926" max="9926" width="13.109375" customWidth="1"/>
    <col min="9927" max="9927" width="11.44140625" customWidth="1"/>
    <col min="9928" max="9928" width="13.44140625" customWidth="1"/>
    <col min="9929" max="9929" width="12.44140625" customWidth="1"/>
    <col min="9930" max="9930" width="12.5546875" customWidth="1"/>
    <col min="10169" max="10169" width="65.109375" bestFit="1" customWidth="1"/>
    <col min="10170" max="10170" width="15.109375" customWidth="1"/>
    <col min="10171" max="10171" width="14.44140625" customWidth="1"/>
    <col min="10172" max="10174" width="17.109375" bestFit="1" customWidth="1"/>
    <col min="10175" max="10175" width="18.88671875" customWidth="1"/>
    <col min="10176" max="10176" width="19.44140625" customWidth="1"/>
    <col min="10177" max="10178" width="17.109375" bestFit="1" customWidth="1"/>
    <col min="10179" max="10179" width="11.44140625" customWidth="1"/>
    <col min="10180" max="10180" width="13.109375" customWidth="1"/>
    <col min="10181" max="10181" width="13" customWidth="1"/>
    <col min="10182" max="10182" width="13.109375" customWidth="1"/>
    <col min="10183" max="10183" width="11.44140625" customWidth="1"/>
    <col min="10184" max="10184" width="13.44140625" customWidth="1"/>
    <col min="10185" max="10185" width="12.44140625" customWidth="1"/>
    <col min="10186" max="10186" width="12.5546875" customWidth="1"/>
    <col min="10425" max="10425" width="65.109375" bestFit="1" customWidth="1"/>
    <col min="10426" max="10426" width="15.109375" customWidth="1"/>
    <col min="10427" max="10427" width="14.44140625" customWidth="1"/>
    <col min="10428" max="10430" width="17.109375" bestFit="1" customWidth="1"/>
    <col min="10431" max="10431" width="18.88671875" customWidth="1"/>
    <col min="10432" max="10432" width="19.44140625" customWidth="1"/>
    <col min="10433" max="10434" width="17.109375" bestFit="1" customWidth="1"/>
    <col min="10435" max="10435" width="11.44140625" customWidth="1"/>
    <col min="10436" max="10436" width="13.109375" customWidth="1"/>
    <col min="10437" max="10437" width="13" customWidth="1"/>
    <col min="10438" max="10438" width="13.109375" customWidth="1"/>
    <col min="10439" max="10439" width="11.44140625" customWidth="1"/>
    <col min="10440" max="10440" width="13.44140625" customWidth="1"/>
    <col min="10441" max="10441" width="12.44140625" customWidth="1"/>
    <col min="10442" max="10442" width="12.5546875" customWidth="1"/>
    <col min="10681" max="10681" width="65.109375" bestFit="1" customWidth="1"/>
    <col min="10682" max="10682" width="15.109375" customWidth="1"/>
    <col min="10683" max="10683" width="14.44140625" customWidth="1"/>
    <col min="10684" max="10686" width="17.109375" bestFit="1" customWidth="1"/>
    <col min="10687" max="10687" width="18.88671875" customWidth="1"/>
    <col min="10688" max="10688" width="19.44140625" customWidth="1"/>
    <col min="10689" max="10690" width="17.109375" bestFit="1" customWidth="1"/>
    <col min="10691" max="10691" width="11.44140625" customWidth="1"/>
    <col min="10692" max="10692" width="13.109375" customWidth="1"/>
    <col min="10693" max="10693" width="13" customWidth="1"/>
    <col min="10694" max="10694" width="13.109375" customWidth="1"/>
    <col min="10695" max="10695" width="11.44140625" customWidth="1"/>
    <col min="10696" max="10696" width="13.44140625" customWidth="1"/>
    <col min="10697" max="10697" width="12.44140625" customWidth="1"/>
    <col min="10698" max="10698" width="12.5546875" customWidth="1"/>
    <col min="10937" max="10937" width="65.109375" bestFit="1" customWidth="1"/>
    <col min="10938" max="10938" width="15.109375" customWidth="1"/>
    <col min="10939" max="10939" width="14.44140625" customWidth="1"/>
    <col min="10940" max="10942" width="17.109375" bestFit="1" customWidth="1"/>
    <col min="10943" max="10943" width="18.88671875" customWidth="1"/>
    <col min="10944" max="10944" width="19.44140625" customWidth="1"/>
    <col min="10945" max="10946" width="17.109375" bestFit="1" customWidth="1"/>
    <col min="10947" max="10947" width="11.44140625" customWidth="1"/>
    <col min="10948" max="10948" width="13.109375" customWidth="1"/>
    <col min="10949" max="10949" width="13" customWidth="1"/>
    <col min="10950" max="10950" width="13.109375" customWidth="1"/>
    <col min="10951" max="10951" width="11.44140625" customWidth="1"/>
    <col min="10952" max="10952" width="13.44140625" customWidth="1"/>
    <col min="10953" max="10953" width="12.44140625" customWidth="1"/>
    <col min="10954" max="10954" width="12.5546875" customWidth="1"/>
    <col min="11193" max="11193" width="65.109375" bestFit="1" customWidth="1"/>
    <col min="11194" max="11194" width="15.109375" customWidth="1"/>
    <col min="11195" max="11195" width="14.44140625" customWidth="1"/>
    <col min="11196" max="11198" width="17.109375" bestFit="1" customWidth="1"/>
    <col min="11199" max="11199" width="18.88671875" customWidth="1"/>
    <col min="11200" max="11200" width="19.44140625" customWidth="1"/>
    <col min="11201" max="11202" width="17.109375" bestFit="1" customWidth="1"/>
    <col min="11203" max="11203" width="11.44140625" customWidth="1"/>
    <col min="11204" max="11204" width="13.109375" customWidth="1"/>
    <col min="11205" max="11205" width="13" customWidth="1"/>
    <col min="11206" max="11206" width="13.109375" customWidth="1"/>
    <col min="11207" max="11207" width="11.44140625" customWidth="1"/>
    <col min="11208" max="11208" width="13.44140625" customWidth="1"/>
    <col min="11209" max="11209" width="12.44140625" customWidth="1"/>
    <col min="11210" max="11210" width="12.5546875" customWidth="1"/>
    <col min="11449" max="11449" width="65.109375" bestFit="1" customWidth="1"/>
    <col min="11450" max="11450" width="15.109375" customWidth="1"/>
    <col min="11451" max="11451" width="14.44140625" customWidth="1"/>
    <col min="11452" max="11454" width="17.109375" bestFit="1" customWidth="1"/>
    <col min="11455" max="11455" width="18.88671875" customWidth="1"/>
    <col min="11456" max="11456" width="19.44140625" customWidth="1"/>
    <col min="11457" max="11458" width="17.109375" bestFit="1" customWidth="1"/>
    <col min="11459" max="11459" width="11.44140625" customWidth="1"/>
    <col min="11460" max="11460" width="13.109375" customWidth="1"/>
    <col min="11461" max="11461" width="13" customWidth="1"/>
    <col min="11462" max="11462" width="13.109375" customWidth="1"/>
    <col min="11463" max="11463" width="11.44140625" customWidth="1"/>
    <col min="11464" max="11464" width="13.44140625" customWidth="1"/>
    <col min="11465" max="11465" width="12.44140625" customWidth="1"/>
    <col min="11466" max="11466" width="12.5546875" customWidth="1"/>
    <col min="11705" max="11705" width="65.109375" bestFit="1" customWidth="1"/>
    <col min="11706" max="11706" width="15.109375" customWidth="1"/>
    <col min="11707" max="11707" width="14.44140625" customWidth="1"/>
    <col min="11708" max="11710" width="17.109375" bestFit="1" customWidth="1"/>
    <col min="11711" max="11711" width="18.88671875" customWidth="1"/>
    <col min="11712" max="11712" width="19.44140625" customWidth="1"/>
    <col min="11713" max="11714" width="17.109375" bestFit="1" customWidth="1"/>
    <col min="11715" max="11715" width="11.44140625" customWidth="1"/>
    <col min="11716" max="11716" width="13.109375" customWidth="1"/>
    <col min="11717" max="11717" width="13" customWidth="1"/>
    <col min="11718" max="11718" width="13.109375" customWidth="1"/>
    <col min="11719" max="11719" width="11.44140625" customWidth="1"/>
    <col min="11720" max="11720" width="13.44140625" customWidth="1"/>
    <col min="11721" max="11721" width="12.44140625" customWidth="1"/>
    <col min="11722" max="11722" width="12.5546875" customWidth="1"/>
    <col min="11961" max="11961" width="65.109375" bestFit="1" customWidth="1"/>
    <col min="11962" max="11962" width="15.109375" customWidth="1"/>
    <col min="11963" max="11963" width="14.44140625" customWidth="1"/>
    <col min="11964" max="11966" width="17.109375" bestFit="1" customWidth="1"/>
    <col min="11967" max="11967" width="18.88671875" customWidth="1"/>
    <col min="11968" max="11968" width="19.44140625" customWidth="1"/>
    <col min="11969" max="11970" width="17.109375" bestFit="1" customWidth="1"/>
    <col min="11971" max="11971" width="11.44140625" customWidth="1"/>
    <col min="11972" max="11972" width="13.109375" customWidth="1"/>
    <col min="11973" max="11973" width="13" customWidth="1"/>
    <col min="11974" max="11974" width="13.109375" customWidth="1"/>
    <col min="11975" max="11975" width="11.44140625" customWidth="1"/>
    <col min="11976" max="11976" width="13.44140625" customWidth="1"/>
    <col min="11977" max="11977" width="12.44140625" customWidth="1"/>
    <col min="11978" max="11978" width="12.5546875" customWidth="1"/>
    <col min="12217" max="12217" width="65.109375" bestFit="1" customWidth="1"/>
    <col min="12218" max="12218" width="15.109375" customWidth="1"/>
    <col min="12219" max="12219" width="14.44140625" customWidth="1"/>
    <col min="12220" max="12222" width="17.109375" bestFit="1" customWidth="1"/>
    <col min="12223" max="12223" width="18.88671875" customWidth="1"/>
    <col min="12224" max="12224" width="19.44140625" customWidth="1"/>
    <col min="12225" max="12226" width="17.109375" bestFit="1" customWidth="1"/>
    <col min="12227" max="12227" width="11.44140625" customWidth="1"/>
    <col min="12228" max="12228" width="13.109375" customWidth="1"/>
    <col min="12229" max="12229" width="13" customWidth="1"/>
    <col min="12230" max="12230" width="13.109375" customWidth="1"/>
    <col min="12231" max="12231" width="11.44140625" customWidth="1"/>
    <col min="12232" max="12232" width="13.44140625" customWidth="1"/>
    <col min="12233" max="12233" width="12.44140625" customWidth="1"/>
    <col min="12234" max="12234" width="12.5546875" customWidth="1"/>
    <col min="12473" max="12473" width="65.109375" bestFit="1" customWidth="1"/>
    <col min="12474" max="12474" width="15.109375" customWidth="1"/>
    <col min="12475" max="12475" width="14.44140625" customWidth="1"/>
    <col min="12476" max="12478" width="17.109375" bestFit="1" customWidth="1"/>
    <col min="12479" max="12479" width="18.88671875" customWidth="1"/>
    <col min="12480" max="12480" width="19.44140625" customWidth="1"/>
    <col min="12481" max="12482" width="17.109375" bestFit="1" customWidth="1"/>
    <col min="12483" max="12483" width="11.44140625" customWidth="1"/>
    <col min="12484" max="12484" width="13.109375" customWidth="1"/>
    <col min="12485" max="12485" width="13" customWidth="1"/>
    <col min="12486" max="12486" width="13.109375" customWidth="1"/>
    <col min="12487" max="12487" width="11.44140625" customWidth="1"/>
    <col min="12488" max="12488" width="13.44140625" customWidth="1"/>
    <col min="12489" max="12489" width="12.44140625" customWidth="1"/>
    <col min="12490" max="12490" width="12.5546875" customWidth="1"/>
    <col min="12729" max="12729" width="65.109375" bestFit="1" customWidth="1"/>
    <col min="12730" max="12730" width="15.109375" customWidth="1"/>
    <col min="12731" max="12731" width="14.44140625" customWidth="1"/>
    <col min="12732" max="12734" width="17.109375" bestFit="1" customWidth="1"/>
    <col min="12735" max="12735" width="18.88671875" customWidth="1"/>
    <col min="12736" max="12736" width="19.44140625" customWidth="1"/>
    <col min="12737" max="12738" width="17.109375" bestFit="1" customWidth="1"/>
    <col min="12739" max="12739" width="11.44140625" customWidth="1"/>
    <col min="12740" max="12740" width="13.109375" customWidth="1"/>
    <col min="12741" max="12741" width="13" customWidth="1"/>
    <col min="12742" max="12742" width="13.109375" customWidth="1"/>
    <col min="12743" max="12743" width="11.44140625" customWidth="1"/>
    <col min="12744" max="12744" width="13.44140625" customWidth="1"/>
    <col min="12745" max="12745" width="12.44140625" customWidth="1"/>
    <col min="12746" max="12746" width="12.5546875" customWidth="1"/>
    <col min="12985" max="12985" width="65.109375" bestFit="1" customWidth="1"/>
    <col min="12986" max="12986" width="15.109375" customWidth="1"/>
    <col min="12987" max="12987" width="14.44140625" customWidth="1"/>
    <col min="12988" max="12990" width="17.109375" bestFit="1" customWidth="1"/>
    <col min="12991" max="12991" width="18.88671875" customWidth="1"/>
    <col min="12992" max="12992" width="19.44140625" customWidth="1"/>
    <col min="12993" max="12994" width="17.109375" bestFit="1" customWidth="1"/>
    <col min="12995" max="12995" width="11.44140625" customWidth="1"/>
    <col min="12996" max="12996" width="13.109375" customWidth="1"/>
    <col min="12997" max="12997" width="13" customWidth="1"/>
    <col min="12998" max="12998" width="13.109375" customWidth="1"/>
    <col min="12999" max="12999" width="11.44140625" customWidth="1"/>
    <col min="13000" max="13000" width="13.44140625" customWidth="1"/>
    <col min="13001" max="13001" width="12.44140625" customWidth="1"/>
    <col min="13002" max="13002" width="12.5546875" customWidth="1"/>
    <col min="13241" max="13241" width="65.109375" bestFit="1" customWidth="1"/>
    <col min="13242" max="13242" width="15.109375" customWidth="1"/>
    <col min="13243" max="13243" width="14.44140625" customWidth="1"/>
    <col min="13244" max="13246" width="17.109375" bestFit="1" customWidth="1"/>
    <col min="13247" max="13247" width="18.88671875" customWidth="1"/>
    <col min="13248" max="13248" width="19.44140625" customWidth="1"/>
    <col min="13249" max="13250" width="17.109375" bestFit="1" customWidth="1"/>
    <col min="13251" max="13251" width="11.44140625" customWidth="1"/>
    <col min="13252" max="13252" width="13.109375" customWidth="1"/>
    <col min="13253" max="13253" width="13" customWidth="1"/>
    <col min="13254" max="13254" width="13.109375" customWidth="1"/>
    <col min="13255" max="13255" width="11.44140625" customWidth="1"/>
    <col min="13256" max="13256" width="13.44140625" customWidth="1"/>
    <col min="13257" max="13257" width="12.44140625" customWidth="1"/>
    <col min="13258" max="13258" width="12.5546875" customWidth="1"/>
    <col min="13497" max="13497" width="65.109375" bestFit="1" customWidth="1"/>
    <col min="13498" max="13498" width="15.109375" customWidth="1"/>
    <col min="13499" max="13499" width="14.44140625" customWidth="1"/>
    <col min="13500" max="13502" width="17.109375" bestFit="1" customWidth="1"/>
    <col min="13503" max="13503" width="18.88671875" customWidth="1"/>
    <col min="13504" max="13504" width="19.44140625" customWidth="1"/>
    <col min="13505" max="13506" width="17.109375" bestFit="1" customWidth="1"/>
    <col min="13507" max="13507" width="11.44140625" customWidth="1"/>
    <col min="13508" max="13508" width="13.109375" customWidth="1"/>
    <col min="13509" max="13509" width="13" customWidth="1"/>
    <col min="13510" max="13510" width="13.109375" customWidth="1"/>
    <col min="13511" max="13511" width="11.44140625" customWidth="1"/>
    <col min="13512" max="13512" width="13.44140625" customWidth="1"/>
    <col min="13513" max="13513" width="12.44140625" customWidth="1"/>
    <col min="13514" max="13514" width="12.5546875" customWidth="1"/>
    <col min="13753" max="13753" width="65.109375" bestFit="1" customWidth="1"/>
    <col min="13754" max="13754" width="15.109375" customWidth="1"/>
    <col min="13755" max="13755" width="14.44140625" customWidth="1"/>
    <col min="13756" max="13758" width="17.109375" bestFit="1" customWidth="1"/>
    <col min="13759" max="13759" width="18.88671875" customWidth="1"/>
    <col min="13760" max="13760" width="19.44140625" customWidth="1"/>
    <col min="13761" max="13762" width="17.109375" bestFit="1" customWidth="1"/>
    <col min="13763" max="13763" width="11.44140625" customWidth="1"/>
    <col min="13764" max="13764" width="13.109375" customWidth="1"/>
    <col min="13765" max="13765" width="13" customWidth="1"/>
    <col min="13766" max="13766" width="13.109375" customWidth="1"/>
    <col min="13767" max="13767" width="11.44140625" customWidth="1"/>
    <col min="13768" max="13768" width="13.44140625" customWidth="1"/>
    <col min="13769" max="13769" width="12.44140625" customWidth="1"/>
    <col min="13770" max="13770" width="12.5546875" customWidth="1"/>
    <col min="14009" max="14009" width="65.109375" bestFit="1" customWidth="1"/>
    <col min="14010" max="14010" width="15.109375" customWidth="1"/>
    <col min="14011" max="14011" width="14.44140625" customWidth="1"/>
    <col min="14012" max="14014" width="17.109375" bestFit="1" customWidth="1"/>
    <col min="14015" max="14015" width="18.88671875" customWidth="1"/>
    <col min="14016" max="14016" width="19.44140625" customWidth="1"/>
    <col min="14017" max="14018" width="17.109375" bestFit="1" customWidth="1"/>
    <col min="14019" max="14019" width="11.44140625" customWidth="1"/>
    <col min="14020" max="14020" width="13.109375" customWidth="1"/>
    <col min="14021" max="14021" width="13" customWidth="1"/>
    <col min="14022" max="14022" width="13.109375" customWidth="1"/>
    <col min="14023" max="14023" width="11.44140625" customWidth="1"/>
    <col min="14024" max="14024" width="13.44140625" customWidth="1"/>
    <col min="14025" max="14025" width="12.44140625" customWidth="1"/>
    <col min="14026" max="14026" width="12.5546875" customWidth="1"/>
    <col min="14265" max="14265" width="65.109375" bestFit="1" customWidth="1"/>
    <col min="14266" max="14266" width="15.109375" customWidth="1"/>
    <col min="14267" max="14267" width="14.44140625" customWidth="1"/>
    <col min="14268" max="14270" width="17.109375" bestFit="1" customWidth="1"/>
    <col min="14271" max="14271" width="18.88671875" customWidth="1"/>
    <col min="14272" max="14272" width="19.44140625" customWidth="1"/>
    <col min="14273" max="14274" width="17.109375" bestFit="1" customWidth="1"/>
    <col min="14275" max="14275" width="11.44140625" customWidth="1"/>
    <col min="14276" max="14276" width="13.109375" customWidth="1"/>
    <col min="14277" max="14277" width="13" customWidth="1"/>
    <col min="14278" max="14278" width="13.109375" customWidth="1"/>
    <col min="14279" max="14279" width="11.44140625" customWidth="1"/>
    <col min="14280" max="14280" width="13.44140625" customWidth="1"/>
    <col min="14281" max="14281" width="12.44140625" customWidth="1"/>
    <col min="14282" max="14282" width="12.5546875" customWidth="1"/>
    <col min="14521" max="14521" width="65.109375" bestFit="1" customWidth="1"/>
    <col min="14522" max="14522" width="15.109375" customWidth="1"/>
    <col min="14523" max="14523" width="14.44140625" customWidth="1"/>
    <col min="14524" max="14526" width="17.109375" bestFit="1" customWidth="1"/>
    <col min="14527" max="14527" width="18.88671875" customWidth="1"/>
    <col min="14528" max="14528" width="19.44140625" customWidth="1"/>
    <col min="14529" max="14530" width="17.109375" bestFit="1" customWidth="1"/>
    <col min="14531" max="14531" width="11.44140625" customWidth="1"/>
    <col min="14532" max="14532" width="13.109375" customWidth="1"/>
    <col min="14533" max="14533" width="13" customWidth="1"/>
    <col min="14534" max="14534" width="13.109375" customWidth="1"/>
    <col min="14535" max="14535" width="11.44140625" customWidth="1"/>
    <col min="14536" max="14536" width="13.44140625" customWidth="1"/>
    <col min="14537" max="14537" width="12.44140625" customWidth="1"/>
    <col min="14538" max="14538" width="12.5546875" customWidth="1"/>
    <col min="14777" max="14777" width="65.109375" bestFit="1" customWidth="1"/>
    <col min="14778" max="14778" width="15.109375" customWidth="1"/>
    <col min="14779" max="14779" width="14.44140625" customWidth="1"/>
    <col min="14780" max="14782" width="17.109375" bestFit="1" customWidth="1"/>
    <col min="14783" max="14783" width="18.88671875" customWidth="1"/>
    <col min="14784" max="14784" width="19.44140625" customWidth="1"/>
    <col min="14785" max="14786" width="17.109375" bestFit="1" customWidth="1"/>
    <col min="14787" max="14787" width="11.44140625" customWidth="1"/>
    <col min="14788" max="14788" width="13.109375" customWidth="1"/>
    <col min="14789" max="14789" width="13" customWidth="1"/>
    <col min="14790" max="14790" width="13.109375" customWidth="1"/>
    <col min="14791" max="14791" width="11.44140625" customWidth="1"/>
    <col min="14792" max="14792" width="13.44140625" customWidth="1"/>
    <col min="14793" max="14793" width="12.44140625" customWidth="1"/>
    <col min="14794" max="14794" width="12.5546875" customWidth="1"/>
    <col min="15033" max="15033" width="65.109375" bestFit="1" customWidth="1"/>
    <col min="15034" max="15034" width="15.109375" customWidth="1"/>
    <col min="15035" max="15035" width="14.44140625" customWidth="1"/>
    <col min="15036" max="15038" width="17.109375" bestFit="1" customWidth="1"/>
    <col min="15039" max="15039" width="18.88671875" customWidth="1"/>
    <col min="15040" max="15040" width="19.44140625" customWidth="1"/>
    <col min="15041" max="15042" width="17.109375" bestFit="1" customWidth="1"/>
    <col min="15043" max="15043" width="11.44140625" customWidth="1"/>
    <col min="15044" max="15044" width="13.109375" customWidth="1"/>
    <col min="15045" max="15045" width="13" customWidth="1"/>
    <col min="15046" max="15046" width="13.109375" customWidth="1"/>
    <col min="15047" max="15047" width="11.44140625" customWidth="1"/>
    <col min="15048" max="15048" width="13.44140625" customWidth="1"/>
    <col min="15049" max="15049" width="12.44140625" customWidth="1"/>
    <col min="15050" max="15050" width="12.5546875" customWidth="1"/>
    <col min="15289" max="15289" width="65.109375" bestFit="1" customWidth="1"/>
    <col min="15290" max="15290" width="15.109375" customWidth="1"/>
    <col min="15291" max="15291" width="14.44140625" customWidth="1"/>
    <col min="15292" max="15294" width="17.109375" bestFit="1" customWidth="1"/>
    <col min="15295" max="15295" width="18.88671875" customWidth="1"/>
    <col min="15296" max="15296" width="19.44140625" customWidth="1"/>
    <col min="15297" max="15298" width="17.109375" bestFit="1" customWidth="1"/>
    <col min="15299" max="15299" width="11.44140625" customWidth="1"/>
    <col min="15300" max="15300" width="13.109375" customWidth="1"/>
    <col min="15301" max="15301" width="13" customWidth="1"/>
    <col min="15302" max="15302" width="13.109375" customWidth="1"/>
    <col min="15303" max="15303" width="11.44140625" customWidth="1"/>
    <col min="15304" max="15304" width="13.44140625" customWidth="1"/>
    <col min="15305" max="15305" width="12.44140625" customWidth="1"/>
    <col min="15306" max="15306" width="12.5546875" customWidth="1"/>
    <col min="15545" max="15545" width="65.109375" bestFit="1" customWidth="1"/>
    <col min="15546" max="15546" width="15.109375" customWidth="1"/>
    <col min="15547" max="15547" width="14.44140625" customWidth="1"/>
    <col min="15548" max="15550" width="17.109375" bestFit="1" customWidth="1"/>
    <col min="15551" max="15551" width="18.88671875" customWidth="1"/>
    <col min="15552" max="15552" width="19.44140625" customWidth="1"/>
    <col min="15553" max="15554" width="17.109375" bestFit="1" customWidth="1"/>
    <col min="15555" max="15555" width="11.44140625" customWidth="1"/>
    <col min="15556" max="15556" width="13.109375" customWidth="1"/>
    <col min="15557" max="15557" width="13" customWidth="1"/>
    <col min="15558" max="15558" width="13.109375" customWidth="1"/>
    <col min="15559" max="15559" width="11.44140625" customWidth="1"/>
    <col min="15560" max="15560" width="13.44140625" customWidth="1"/>
    <col min="15561" max="15561" width="12.44140625" customWidth="1"/>
    <col min="15562" max="15562" width="12.5546875" customWidth="1"/>
    <col min="15801" max="15801" width="65.109375" bestFit="1" customWidth="1"/>
    <col min="15802" max="15802" width="15.109375" customWidth="1"/>
    <col min="15803" max="15803" width="14.44140625" customWidth="1"/>
    <col min="15804" max="15806" width="17.109375" bestFit="1" customWidth="1"/>
    <col min="15807" max="15807" width="18.88671875" customWidth="1"/>
    <col min="15808" max="15808" width="19.44140625" customWidth="1"/>
    <col min="15809" max="15810" width="17.109375" bestFit="1" customWidth="1"/>
    <col min="15811" max="15811" width="11.44140625" customWidth="1"/>
    <col min="15812" max="15812" width="13.109375" customWidth="1"/>
    <col min="15813" max="15813" width="13" customWidth="1"/>
    <col min="15814" max="15814" width="13.109375" customWidth="1"/>
    <col min="15815" max="15815" width="11.44140625" customWidth="1"/>
    <col min="15816" max="15816" width="13.44140625" customWidth="1"/>
    <col min="15817" max="15817" width="12.44140625" customWidth="1"/>
    <col min="15818" max="15818" width="12.5546875" customWidth="1"/>
    <col min="16057" max="16057" width="65.109375" bestFit="1" customWidth="1"/>
    <col min="16058" max="16058" width="15.109375" customWidth="1"/>
    <col min="16059" max="16059" width="14.44140625" customWidth="1"/>
    <col min="16060" max="16062" width="17.109375" bestFit="1" customWidth="1"/>
    <col min="16063" max="16063" width="18.88671875" customWidth="1"/>
    <col min="16064" max="16064" width="19.44140625" customWidth="1"/>
    <col min="16065" max="16066" width="17.109375" bestFit="1" customWidth="1"/>
    <col min="16067" max="16067" width="11.44140625" customWidth="1"/>
    <col min="16068" max="16068" width="13.109375" customWidth="1"/>
    <col min="16069" max="16069" width="13" customWidth="1"/>
    <col min="16070" max="16070" width="13.109375" customWidth="1"/>
    <col min="16071" max="16071" width="11.44140625" customWidth="1"/>
    <col min="16072" max="16072" width="13.44140625" customWidth="1"/>
    <col min="16073" max="16073" width="12.44140625" customWidth="1"/>
    <col min="16074" max="16074" width="12.5546875" customWidth="1"/>
  </cols>
  <sheetData>
    <row r="1" spans="1:26" x14ac:dyDescent="0.3">
      <c r="A1" s="8" t="s">
        <v>0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3">
      <c r="A2" s="27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x14ac:dyDescent="0.3">
      <c r="A3" s="9" t="s">
        <v>11</v>
      </c>
      <c r="B3" s="24">
        <v>183.8424</v>
      </c>
      <c r="C3" s="24">
        <v>503.4</v>
      </c>
      <c r="D3" s="24">
        <v>729.45</v>
      </c>
      <c r="E3" s="24">
        <v>673.54319999999996</v>
      </c>
      <c r="F3" s="24">
        <v>311.33920000000001</v>
      </c>
      <c r="G3" s="24">
        <v>860.1880000000001</v>
      </c>
      <c r="H3" s="24">
        <v>949.59199999999998</v>
      </c>
      <c r="I3" s="24">
        <v>681.23739999999998</v>
      </c>
      <c r="J3" s="24">
        <v>296.10084000000001</v>
      </c>
      <c r="K3" s="24">
        <v>796.38379999999995</v>
      </c>
      <c r="L3" s="24">
        <v>946.65071999999998</v>
      </c>
      <c r="M3" s="24">
        <v>763.44319999999993</v>
      </c>
      <c r="N3" s="24">
        <v>763.44319999999993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</row>
    <row r="4" spans="1:26" x14ac:dyDescent="0.3">
      <c r="A4" s="9" t="s">
        <v>12</v>
      </c>
      <c r="B4" s="35">
        <v>72.14</v>
      </c>
      <c r="C4" s="35">
        <v>72.459999999999994</v>
      </c>
      <c r="D4" s="92">
        <v>73.099999999999994</v>
      </c>
      <c r="E4" s="35">
        <v>73.59</v>
      </c>
      <c r="F4" s="67">
        <v>73.8</v>
      </c>
      <c r="G4" s="35">
        <v>74.5</v>
      </c>
      <c r="H4" s="35">
        <v>75.099999999999994</v>
      </c>
      <c r="I4" s="35">
        <v>76.8</v>
      </c>
      <c r="J4" s="35">
        <v>76.7</v>
      </c>
      <c r="K4" s="35">
        <v>77.3</v>
      </c>
      <c r="L4" s="50">
        <v>83.4</v>
      </c>
      <c r="M4" s="50">
        <v>83.6</v>
      </c>
      <c r="N4" s="50">
        <v>84.5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</row>
    <row r="5" spans="1:26" x14ac:dyDescent="0.3">
      <c r="A5" s="9" t="s">
        <v>13</v>
      </c>
      <c r="B5" s="24">
        <f t="shared" ref="B5:N5" si="0">B3*B4</f>
        <v>13262.390735999999</v>
      </c>
      <c r="C5" s="24">
        <f t="shared" si="0"/>
        <v>36476.363999999994</v>
      </c>
      <c r="D5" s="24">
        <f t="shared" si="0"/>
        <v>53322.794999999998</v>
      </c>
      <c r="E5" s="24">
        <f t="shared" si="0"/>
        <v>49566.044088000002</v>
      </c>
      <c r="F5" s="24">
        <f t="shared" si="0"/>
        <v>22976.83296</v>
      </c>
      <c r="G5" s="24">
        <f t="shared" si="0"/>
        <v>64084.006000000008</v>
      </c>
      <c r="H5" s="24">
        <f t="shared" si="0"/>
        <v>71314.359199999992</v>
      </c>
      <c r="I5" s="24">
        <f t="shared" si="0"/>
        <v>52319.032319999998</v>
      </c>
      <c r="J5" s="24">
        <f t="shared" si="0"/>
        <v>22710.934428</v>
      </c>
      <c r="K5" s="24">
        <f t="shared" si="0"/>
        <v>61560.467739999993</v>
      </c>
      <c r="L5" s="24">
        <f t="shared" si="0"/>
        <v>78950.670048</v>
      </c>
      <c r="M5" s="24">
        <f t="shared" si="0"/>
        <v>63823.851519999989</v>
      </c>
      <c r="N5" s="24">
        <f t="shared" si="0"/>
        <v>64510.950399999994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</row>
    <row r="6" spans="1:26" x14ac:dyDescent="0.3">
      <c r="A6" s="27" t="s">
        <v>3</v>
      </c>
      <c r="B6" s="68"/>
      <c r="C6" s="69"/>
      <c r="D6" s="69"/>
      <c r="E6" s="69"/>
      <c r="F6" s="69"/>
      <c r="G6" s="70"/>
      <c r="H6" s="70"/>
      <c r="I6" s="70"/>
      <c r="J6" s="70"/>
      <c r="K6" s="70"/>
      <c r="L6" s="70"/>
      <c r="M6" s="70"/>
      <c r="N6" s="71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x14ac:dyDescent="0.3">
      <c r="A7" s="9" t="s">
        <v>11</v>
      </c>
      <c r="B7" s="24">
        <v>36.803199999999997</v>
      </c>
      <c r="C7" s="24">
        <v>195.12268</v>
      </c>
      <c r="D7" s="24">
        <v>243.72448</v>
      </c>
      <c r="E7" s="24">
        <v>145.018</v>
      </c>
      <c r="F7" s="24">
        <v>60.945999999999998</v>
      </c>
      <c r="G7" s="24">
        <v>122.01600000000001</v>
      </c>
      <c r="H7" s="24">
        <v>199.76399999999998</v>
      </c>
      <c r="I7" s="24">
        <v>107.13600000000001</v>
      </c>
      <c r="J7" s="24">
        <v>88.847239999999999</v>
      </c>
      <c r="K7" s="24">
        <v>175.64475999999999</v>
      </c>
      <c r="L7" s="24">
        <v>200.21163999999999</v>
      </c>
      <c r="M7" s="24">
        <v>105.87740000000001</v>
      </c>
      <c r="N7" s="24">
        <v>105.87740000000001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</row>
    <row r="8" spans="1:26" x14ac:dyDescent="0.3">
      <c r="A8" s="9" t="s">
        <v>12</v>
      </c>
      <c r="B8" s="35">
        <v>209.65273316437106</v>
      </c>
      <c r="C8" s="35">
        <v>211.45</v>
      </c>
      <c r="D8" s="35">
        <v>216.4</v>
      </c>
      <c r="E8" s="35">
        <v>224.01111586147923</v>
      </c>
      <c r="F8" s="67">
        <v>230.12207527975588</v>
      </c>
      <c r="G8" s="35">
        <v>236.4</v>
      </c>
      <c r="H8" s="35">
        <v>237.1</v>
      </c>
      <c r="I8" s="35">
        <v>238.4</v>
      </c>
      <c r="J8" s="35">
        <v>227.02777777777777</v>
      </c>
      <c r="K8" s="35">
        <v>238.12</v>
      </c>
      <c r="L8" s="50">
        <v>242.4</v>
      </c>
      <c r="M8" s="50">
        <v>235.45376282817523</v>
      </c>
      <c r="N8" s="50">
        <v>235.89272120395853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</row>
    <row r="9" spans="1:26" x14ac:dyDescent="0.3">
      <c r="A9" s="9" t="s">
        <v>13</v>
      </c>
      <c r="B9" s="24">
        <f>B7*B8</f>
        <v>7715.8914691949803</v>
      </c>
      <c r="C9" s="24">
        <f t="shared" ref="C9:N9" si="1">C7*C8</f>
        <v>41258.690686000002</v>
      </c>
      <c r="D9" s="24">
        <f t="shared" si="1"/>
        <v>52741.977471999999</v>
      </c>
      <c r="E9" s="24">
        <f t="shared" si="1"/>
        <v>32485.643999999993</v>
      </c>
      <c r="F9" s="24">
        <f t="shared" si="1"/>
        <v>14025.02</v>
      </c>
      <c r="G9" s="24">
        <f t="shared" si="1"/>
        <v>28844.582400000003</v>
      </c>
      <c r="H9" s="24">
        <f t="shared" si="1"/>
        <v>47364.044399999992</v>
      </c>
      <c r="I9" s="24">
        <f t="shared" si="1"/>
        <v>25541.222400000002</v>
      </c>
      <c r="J9" s="24">
        <f t="shared" si="1"/>
        <v>20170.791458888889</v>
      </c>
      <c r="K9" s="24">
        <f t="shared" si="1"/>
        <v>41824.530251199998</v>
      </c>
      <c r="L9" s="24">
        <f t="shared" si="1"/>
        <v>48531.301535999999</v>
      </c>
      <c r="M9" s="24">
        <f t="shared" si="1"/>
        <v>24929.232228463843</v>
      </c>
      <c r="N9" s="24">
        <f t="shared" si="1"/>
        <v>24975.708000000002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</row>
    <row r="10" spans="1:26" x14ac:dyDescent="0.3">
      <c r="A10" s="27" t="s">
        <v>4</v>
      </c>
      <c r="B10" s="68"/>
      <c r="C10" s="69"/>
      <c r="D10" s="69"/>
      <c r="E10" s="69"/>
      <c r="F10" s="69"/>
      <c r="G10" s="70"/>
      <c r="H10" s="70"/>
      <c r="I10" s="70"/>
      <c r="J10" s="70"/>
      <c r="K10" s="70"/>
      <c r="L10" s="70"/>
      <c r="M10" s="70"/>
      <c r="N10" s="71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x14ac:dyDescent="0.3">
      <c r="A11" s="9" t="s">
        <v>11</v>
      </c>
      <c r="B11" s="24">
        <v>6174.1336000000001</v>
      </c>
      <c r="C11" s="24">
        <v>9363.6764800000001</v>
      </c>
      <c r="D11" s="24">
        <v>11737.269600000001</v>
      </c>
      <c r="E11" s="24">
        <v>9610.2232000000004</v>
      </c>
      <c r="F11" s="24">
        <v>13343.795</v>
      </c>
      <c r="G11" s="24">
        <v>9992.9194399999997</v>
      </c>
      <c r="H11" s="24">
        <v>8709.4177599999985</v>
      </c>
      <c r="I11" s="24">
        <v>9558.6578000000009</v>
      </c>
      <c r="J11" s="24">
        <v>6465.1801999999998</v>
      </c>
      <c r="K11" s="24">
        <v>9626.11132</v>
      </c>
      <c r="L11" s="24">
        <v>11881.177799999998</v>
      </c>
      <c r="M11" s="24">
        <v>7827.8087599999999</v>
      </c>
      <c r="N11" s="24">
        <v>7827.8087599999999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</row>
    <row r="12" spans="1:26" x14ac:dyDescent="0.3">
      <c r="A12" s="9" t="s">
        <v>12</v>
      </c>
      <c r="B12" s="35">
        <v>14.811033567527597</v>
      </c>
      <c r="C12" s="35">
        <v>15.547899407989798</v>
      </c>
      <c r="D12" s="35">
        <v>15.804016293533888</v>
      </c>
      <c r="E12" s="35">
        <v>14.295890651114119</v>
      </c>
      <c r="F12" s="35">
        <v>11.367838010101325</v>
      </c>
      <c r="G12" s="35">
        <v>16.024906531218871</v>
      </c>
      <c r="H12" s="35">
        <v>19.080322540412855</v>
      </c>
      <c r="I12" s="35">
        <v>16.900393902583268</v>
      </c>
      <c r="J12" s="35">
        <v>20.956488439203252</v>
      </c>
      <c r="K12" s="35">
        <v>15.888515405201026</v>
      </c>
      <c r="L12" s="35">
        <v>19.701759102449273</v>
      </c>
      <c r="M12" s="35">
        <v>20.00059489051667</v>
      </c>
      <c r="N12" s="50">
        <v>15.966256181250907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</row>
    <row r="13" spans="1:26" x14ac:dyDescent="0.3">
      <c r="A13" s="9" t="s">
        <v>13</v>
      </c>
      <c r="B13" s="72">
        <f>B11*B12</f>
        <v>91445.3</v>
      </c>
      <c r="C13" s="72">
        <f t="shared" ref="C13:N13" si="2">C11*C12</f>
        <v>145585.5</v>
      </c>
      <c r="D13" s="72">
        <f t="shared" si="2"/>
        <v>185496</v>
      </c>
      <c r="E13" s="72">
        <f t="shared" si="2"/>
        <v>137386.70000000001</v>
      </c>
      <c r="F13" s="72">
        <f t="shared" si="2"/>
        <v>151690.1</v>
      </c>
      <c r="G13" s="72">
        <f t="shared" si="2"/>
        <v>160135.6</v>
      </c>
      <c r="H13" s="72">
        <f t="shared" si="2"/>
        <v>166178.5</v>
      </c>
      <c r="I13" s="72">
        <f t="shared" si="2"/>
        <v>161545.08199999999</v>
      </c>
      <c r="J13" s="72">
        <f t="shared" si="2"/>
        <v>135487.47411866576</v>
      </c>
      <c r="K13" s="72">
        <f t="shared" si="2"/>
        <v>152944.61799999999</v>
      </c>
      <c r="L13" s="72">
        <f t="shared" si="2"/>
        <v>234080.10286896818</v>
      </c>
      <c r="M13" s="72">
        <f t="shared" si="2"/>
        <v>156560.83188919764</v>
      </c>
      <c r="N13" s="72">
        <f t="shared" si="2"/>
        <v>124980.8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</row>
    <row r="14" spans="1:26" x14ac:dyDescent="0.3">
      <c r="A14" s="27" t="s">
        <v>5</v>
      </c>
      <c r="B14" s="68"/>
      <c r="C14" s="69"/>
      <c r="D14" s="69"/>
      <c r="E14" s="69"/>
      <c r="F14" s="69"/>
      <c r="G14" s="70"/>
      <c r="H14" s="70"/>
      <c r="I14" s="70"/>
      <c r="J14" s="70"/>
      <c r="K14" s="70"/>
      <c r="L14" s="70"/>
      <c r="M14" s="70"/>
      <c r="N14" s="71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x14ac:dyDescent="0.3">
      <c r="A15" s="9" t="s">
        <v>11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231.88</v>
      </c>
      <c r="I15" s="24">
        <v>107.88</v>
      </c>
      <c r="J15" s="24">
        <v>149.56631999999999</v>
      </c>
      <c r="K15" s="24">
        <v>1039.48828</v>
      </c>
      <c r="L15" s="24">
        <v>508.64799999999997</v>
      </c>
      <c r="M15" s="24">
        <v>136.59344000000002</v>
      </c>
      <c r="N15" s="24">
        <v>136.59344000000002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</row>
    <row r="16" spans="1:26" x14ac:dyDescent="0.3">
      <c r="A16" s="9" t="s">
        <v>12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43">
        <v>0</v>
      </c>
      <c r="I16" s="52">
        <v>10.988505747126437</v>
      </c>
      <c r="J16" s="52">
        <v>10.988505747126437</v>
      </c>
      <c r="K16" s="51">
        <v>14.038883593762115</v>
      </c>
      <c r="L16" s="50">
        <v>14.038883593762115</v>
      </c>
      <c r="M16" s="50">
        <v>17.968551925889809</v>
      </c>
      <c r="N16" s="50">
        <v>22.143142452521875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</row>
    <row r="17" spans="1:26" x14ac:dyDescent="0.3">
      <c r="A17" s="9" t="s">
        <v>13</v>
      </c>
      <c r="B17" s="24">
        <f>B15*B16</f>
        <v>0</v>
      </c>
      <c r="C17" s="24">
        <f t="shared" ref="C17:N17" si="3">C15*C16</f>
        <v>0</v>
      </c>
      <c r="D17" s="24">
        <f t="shared" si="3"/>
        <v>0</v>
      </c>
      <c r="E17" s="24">
        <f t="shared" si="3"/>
        <v>0</v>
      </c>
      <c r="F17" s="24">
        <f t="shared" si="3"/>
        <v>0</v>
      </c>
      <c r="G17" s="24">
        <f t="shared" si="3"/>
        <v>0</v>
      </c>
      <c r="H17" s="24">
        <f t="shared" si="3"/>
        <v>0</v>
      </c>
      <c r="I17" s="24">
        <f t="shared" si="3"/>
        <v>1185.44</v>
      </c>
      <c r="J17" s="24">
        <f t="shared" si="3"/>
        <v>1643.5103668965517</v>
      </c>
      <c r="K17" s="24">
        <f t="shared" si="3"/>
        <v>14593.25496</v>
      </c>
      <c r="L17" s="24">
        <f t="shared" si="3"/>
        <v>7140.8500621999119</v>
      </c>
      <c r="M17" s="24">
        <f t="shared" si="3"/>
        <v>2454.3863193759144</v>
      </c>
      <c r="N17" s="24">
        <f t="shared" si="3"/>
        <v>3024.6079999999997</v>
      </c>
      <c r="O17" s="48">
        <f t="shared" ref="O17:Z17" si="4">O15*O16</f>
        <v>0</v>
      </c>
      <c r="P17" s="48">
        <f t="shared" si="4"/>
        <v>0</v>
      </c>
      <c r="Q17" s="48">
        <f t="shared" si="4"/>
        <v>0</v>
      </c>
      <c r="R17" s="48">
        <f t="shared" si="4"/>
        <v>0</v>
      </c>
      <c r="S17" s="48">
        <f t="shared" si="4"/>
        <v>0</v>
      </c>
      <c r="T17" s="48">
        <f t="shared" si="4"/>
        <v>0</v>
      </c>
      <c r="U17" s="48">
        <f t="shared" si="4"/>
        <v>0</v>
      </c>
      <c r="V17" s="48">
        <f t="shared" si="4"/>
        <v>0</v>
      </c>
      <c r="W17" s="48">
        <f t="shared" si="4"/>
        <v>0</v>
      </c>
      <c r="X17" s="48">
        <f t="shared" si="4"/>
        <v>0</v>
      </c>
      <c r="Y17" s="48">
        <f t="shared" si="4"/>
        <v>0</v>
      </c>
      <c r="Z17" s="48">
        <f t="shared" si="4"/>
        <v>0</v>
      </c>
    </row>
    <row r="18" spans="1:26" x14ac:dyDescent="0.3">
      <c r="A18" s="27" t="s">
        <v>6</v>
      </c>
      <c r="B18" s="68"/>
      <c r="C18" s="69"/>
      <c r="D18" s="69"/>
      <c r="E18" s="69"/>
      <c r="F18" s="69"/>
      <c r="G18" s="70"/>
      <c r="H18" s="70"/>
      <c r="I18" s="70"/>
      <c r="J18" s="70"/>
      <c r="K18" s="70"/>
      <c r="L18" s="70"/>
      <c r="M18" s="70"/>
      <c r="N18" s="71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x14ac:dyDescent="0.3">
      <c r="A19" s="9" t="s">
        <v>14</v>
      </c>
      <c r="B19" s="24">
        <v>206.19091999999998</v>
      </c>
      <c r="C19" s="24">
        <v>151.85411999999999</v>
      </c>
      <c r="D19" s="24">
        <v>172.01528000000002</v>
      </c>
      <c r="E19" s="24">
        <v>258.8252</v>
      </c>
      <c r="F19" s="24">
        <v>268.88159999999999</v>
      </c>
      <c r="G19" s="24">
        <v>262.75600000000003</v>
      </c>
      <c r="H19" s="24">
        <v>144.83199999999999</v>
      </c>
      <c r="I19" s="24">
        <v>229.77200000000002</v>
      </c>
      <c r="J19" s="24">
        <v>142.72399999999999</v>
      </c>
      <c r="K19" s="24">
        <v>174.19048800000002</v>
      </c>
      <c r="L19" s="24">
        <v>154.32916</v>
      </c>
      <c r="M19" s="24">
        <v>71.433920000000001</v>
      </c>
      <c r="N19" s="24">
        <v>71.433920000000001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</row>
    <row r="20" spans="1:26" x14ac:dyDescent="0.3">
      <c r="A20" s="9" t="s">
        <v>12</v>
      </c>
      <c r="B20" s="35">
        <v>76.611559810684199</v>
      </c>
      <c r="C20" s="35">
        <v>65.65084964438239</v>
      </c>
      <c r="D20" s="35">
        <v>63.27907613788728</v>
      </c>
      <c r="E20" s="35">
        <v>58.675322186556791</v>
      </c>
      <c r="F20" s="35">
        <v>50.428426489577568</v>
      </c>
      <c r="G20" s="35">
        <v>58.14157621519584</v>
      </c>
      <c r="H20" s="35">
        <v>63.706335616438359</v>
      </c>
      <c r="I20" s="35">
        <v>64.951359956826764</v>
      </c>
      <c r="J20" s="35">
        <v>64.951359956826764</v>
      </c>
      <c r="K20" s="35">
        <v>66.137893821159722</v>
      </c>
      <c r="L20" s="50">
        <v>66.137893821159736</v>
      </c>
      <c r="M20" s="50">
        <v>67.577274443792717</v>
      </c>
      <c r="N20" s="50">
        <v>61.543535620052772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</row>
    <row r="21" spans="1:26" x14ac:dyDescent="0.3">
      <c r="A21" s="9" t="s">
        <v>13</v>
      </c>
      <c r="B21" s="24">
        <f>B19*B20</f>
        <v>15796.607999999998</v>
      </c>
      <c r="C21" s="24">
        <f t="shared" ref="C21:N21" si="5">C19*C20</f>
        <v>9969.3520000000008</v>
      </c>
      <c r="D21" s="24">
        <f t="shared" si="5"/>
        <v>10884.968000000001</v>
      </c>
      <c r="E21" s="24">
        <f t="shared" si="5"/>
        <v>15186.651999999998</v>
      </c>
      <c r="F21" s="24">
        <f t="shared" si="5"/>
        <v>13559.276</v>
      </c>
      <c r="G21" s="24">
        <f t="shared" si="5"/>
        <v>15277.048000000001</v>
      </c>
      <c r="H21" s="24">
        <f t="shared" si="5"/>
        <v>9226.7160000000003</v>
      </c>
      <c r="I21" s="24">
        <f t="shared" si="5"/>
        <v>14924.00388</v>
      </c>
      <c r="J21" s="24">
        <f t="shared" si="5"/>
        <v>9270.1178984781418</v>
      </c>
      <c r="K21" s="24">
        <f t="shared" si="5"/>
        <v>11520.591999999997</v>
      </c>
      <c r="L21" s="24">
        <f t="shared" si="5"/>
        <v>10207.005597588772</v>
      </c>
      <c r="M21" s="24">
        <f t="shared" si="5"/>
        <v>4827.3096164359331</v>
      </c>
      <c r="N21" s="24">
        <f t="shared" si="5"/>
        <v>4396.2960000000003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</row>
    <row r="22" spans="1:26" x14ac:dyDescent="0.3">
      <c r="A22" s="27" t="s">
        <v>7</v>
      </c>
      <c r="B22" s="73"/>
      <c r="C22" s="69"/>
      <c r="D22" s="69"/>
      <c r="E22" s="69"/>
      <c r="F22" s="69"/>
      <c r="G22" s="70"/>
      <c r="H22" s="70"/>
      <c r="I22" s="70"/>
      <c r="J22" s="70"/>
      <c r="K22" s="70"/>
      <c r="L22" s="70"/>
      <c r="M22" s="70"/>
      <c r="N22" s="71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x14ac:dyDescent="0.3">
      <c r="A23" s="9" t="s">
        <v>14</v>
      </c>
      <c r="B23" s="24">
        <v>134.99880000000002</v>
      </c>
      <c r="C23" s="24">
        <v>184.84432000000001</v>
      </c>
      <c r="D23" s="24">
        <v>256.45060000000001</v>
      </c>
      <c r="E23" s="24">
        <v>229.15200000000002</v>
      </c>
      <c r="F23" s="24">
        <v>276.75560000000002</v>
      </c>
      <c r="G23" s="24">
        <v>196.61439999999999</v>
      </c>
      <c r="H23" s="24">
        <v>244.77600000000001</v>
      </c>
      <c r="I23" s="24">
        <v>140.36799999999999</v>
      </c>
      <c r="J23" s="24">
        <v>160.33200000000002</v>
      </c>
      <c r="K23" s="24">
        <v>209.11359999999999</v>
      </c>
      <c r="L23" s="24">
        <v>79.731999999999999</v>
      </c>
      <c r="M23" s="24">
        <v>136.648</v>
      </c>
      <c r="N23" s="24">
        <v>136.648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</row>
    <row r="24" spans="1:26" x14ac:dyDescent="0.3">
      <c r="A24" s="9" t="s">
        <v>12</v>
      </c>
      <c r="B24" s="36">
        <v>36.973454578855517</v>
      </c>
      <c r="C24" s="36">
        <v>38.149703491024226</v>
      </c>
      <c r="D24" s="36">
        <v>37.770471194062324</v>
      </c>
      <c r="E24" s="36">
        <v>38.731601731601735</v>
      </c>
      <c r="F24" s="36">
        <v>28.850306913392178</v>
      </c>
      <c r="G24" s="36">
        <v>38.659813319878907</v>
      </c>
      <c r="H24" s="36">
        <v>42.153495440729486</v>
      </c>
      <c r="I24" s="36">
        <v>38.990282685512362</v>
      </c>
      <c r="J24" s="36">
        <v>38.990282685512369</v>
      </c>
      <c r="K24" s="36">
        <v>38.261978178368125</v>
      </c>
      <c r="L24" s="50">
        <v>38.261978178368125</v>
      </c>
      <c r="M24" s="50">
        <v>36.363919129082426</v>
      </c>
      <c r="N24" s="50">
        <v>42.317604355716874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</row>
    <row r="25" spans="1:26" x14ac:dyDescent="0.3">
      <c r="A25" s="9" t="s">
        <v>13</v>
      </c>
      <c r="B25" s="24">
        <f>B23*B24</f>
        <v>4991.3720000000012</v>
      </c>
      <c r="C25" s="24">
        <f t="shared" ref="C25:N25" si="6">C23*C24</f>
        <v>7051.7559999999994</v>
      </c>
      <c r="D25" s="24">
        <f t="shared" si="6"/>
        <v>9686.26</v>
      </c>
      <c r="E25" s="24">
        <f t="shared" si="6"/>
        <v>8875.4240000000009</v>
      </c>
      <c r="F25" s="24">
        <f t="shared" si="6"/>
        <v>7984.4840000000004</v>
      </c>
      <c r="G25" s="24">
        <f t="shared" si="6"/>
        <v>7601.0759999999991</v>
      </c>
      <c r="H25" s="24">
        <f t="shared" si="6"/>
        <v>10318.164000000001</v>
      </c>
      <c r="I25" s="24">
        <f t="shared" si="6"/>
        <v>5472.9879999999994</v>
      </c>
      <c r="J25" s="24">
        <f t="shared" si="6"/>
        <v>6251.3900035335701</v>
      </c>
      <c r="K25" s="24">
        <f t="shared" si="6"/>
        <v>8001.1</v>
      </c>
      <c r="L25" s="24">
        <f t="shared" si="6"/>
        <v>3050.7040441176473</v>
      </c>
      <c r="M25" s="24">
        <f t="shared" si="6"/>
        <v>4969.0568211508553</v>
      </c>
      <c r="N25" s="24">
        <f t="shared" si="6"/>
        <v>5782.6159999999991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</row>
    <row r="26" spans="1:26" x14ac:dyDescent="0.3">
      <c r="A26" s="27" t="s">
        <v>8</v>
      </c>
      <c r="B26" s="73"/>
      <c r="C26" s="73"/>
      <c r="D26" s="73"/>
      <c r="E26" s="73"/>
      <c r="F26" s="73"/>
      <c r="G26" s="70"/>
      <c r="H26" s="70"/>
      <c r="I26" s="70"/>
      <c r="J26" s="70"/>
      <c r="K26" s="70"/>
      <c r="L26" s="70"/>
      <c r="M26" s="70"/>
      <c r="N26" s="71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x14ac:dyDescent="0.3">
      <c r="A27" s="9" t="s">
        <v>11</v>
      </c>
      <c r="B27" s="72">
        <v>0</v>
      </c>
      <c r="C27" s="24">
        <v>1.1903999999999999</v>
      </c>
      <c r="D27" s="24">
        <v>150.16399999999999</v>
      </c>
      <c r="E27" s="24">
        <v>89.70532</v>
      </c>
      <c r="F27" s="24">
        <v>82.112799999999993</v>
      </c>
      <c r="G27" s="24">
        <v>325.87200000000001</v>
      </c>
      <c r="H27" s="24">
        <v>399.34199999999993</v>
      </c>
      <c r="I27" s="24">
        <v>484.71599999999995</v>
      </c>
      <c r="J27" s="24">
        <v>261.9128</v>
      </c>
      <c r="K27" s="24">
        <v>648.07359999999994</v>
      </c>
      <c r="L27" s="24">
        <v>848.30880000000002</v>
      </c>
      <c r="M27" s="24">
        <v>727.88</v>
      </c>
      <c r="N27" s="24">
        <v>727.88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</row>
    <row r="28" spans="1:26" x14ac:dyDescent="0.3">
      <c r="A28" s="9" t="s">
        <v>12</v>
      </c>
      <c r="B28" s="44">
        <v>0</v>
      </c>
      <c r="C28" s="44">
        <v>25</v>
      </c>
      <c r="D28" s="44">
        <v>27.275805119735757</v>
      </c>
      <c r="E28" s="44">
        <v>61.79174211741288</v>
      </c>
      <c r="F28" s="44">
        <v>35.726366656599218</v>
      </c>
      <c r="G28" s="44">
        <v>25.309741248097406</v>
      </c>
      <c r="H28" s="44">
        <v>24.272628473839472</v>
      </c>
      <c r="I28" s="44">
        <v>24.056536198516252</v>
      </c>
      <c r="J28" s="44">
        <v>24.056536198516248</v>
      </c>
      <c r="K28" s="44">
        <v>24.175149242308287</v>
      </c>
      <c r="L28" s="50">
        <v>24.175149242308283</v>
      </c>
      <c r="M28" s="50">
        <v>23.175758638835291</v>
      </c>
      <c r="N28" s="50">
        <v>25.617035775127768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</row>
    <row r="29" spans="1:26" x14ac:dyDescent="0.3">
      <c r="A29" s="9" t="s">
        <v>13</v>
      </c>
      <c r="B29" s="72">
        <f>B27*B28</f>
        <v>0</v>
      </c>
      <c r="C29" s="72">
        <f t="shared" ref="C29:N29" si="7">C27*C28</f>
        <v>29.759999999999998</v>
      </c>
      <c r="D29" s="72">
        <f t="shared" si="7"/>
        <v>4095.8440000000001</v>
      </c>
      <c r="E29" s="72">
        <f t="shared" si="7"/>
        <v>5543.0479999999998</v>
      </c>
      <c r="F29" s="72">
        <f t="shared" si="7"/>
        <v>2933.5920000000001</v>
      </c>
      <c r="G29" s="72">
        <f t="shared" si="7"/>
        <v>8247.735999999999</v>
      </c>
      <c r="H29" s="72">
        <f t="shared" si="7"/>
        <v>9693.08</v>
      </c>
      <c r="I29" s="72">
        <f t="shared" si="7"/>
        <v>11660.588000000002</v>
      </c>
      <c r="J29" s="72">
        <f t="shared" si="7"/>
        <v>6300.7147540547467</v>
      </c>
      <c r="K29" s="72">
        <f t="shared" si="7"/>
        <v>15667.276000000002</v>
      </c>
      <c r="L29" s="72">
        <f t="shared" si="7"/>
        <v>20507.99184356345</v>
      </c>
      <c r="M29" s="72">
        <f t="shared" si="7"/>
        <v>16869.17119803543</v>
      </c>
      <c r="N29" s="72">
        <f t="shared" si="7"/>
        <v>18646.128000000001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</row>
    <row r="30" spans="1:26" x14ac:dyDescent="0.3">
      <c r="A30" s="27" t="s">
        <v>9</v>
      </c>
      <c r="B30" s="68"/>
      <c r="C30" s="69"/>
      <c r="D30" s="69"/>
      <c r="E30" s="69"/>
      <c r="F30" s="69"/>
      <c r="G30" s="70"/>
      <c r="H30" s="70"/>
      <c r="I30" s="70"/>
      <c r="J30" s="70"/>
      <c r="K30" s="74"/>
      <c r="L30" s="53"/>
      <c r="M30" s="53"/>
      <c r="N30" s="71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x14ac:dyDescent="0.3">
      <c r="A31" s="9" t="s">
        <v>14</v>
      </c>
      <c r="B31" s="24">
        <v>30.108439999999998</v>
      </c>
      <c r="C31" s="24">
        <v>0</v>
      </c>
      <c r="D31" s="24">
        <v>21.781839999999999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282.69148000000001</v>
      </c>
      <c r="L31" s="24">
        <v>574.88508000000002</v>
      </c>
      <c r="M31" s="24">
        <v>174.42583999999999</v>
      </c>
      <c r="N31" s="24">
        <v>174.42583999999999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</row>
    <row r="32" spans="1:26" x14ac:dyDescent="0.3">
      <c r="A32" s="9" t="s">
        <v>12</v>
      </c>
      <c r="B32" s="20">
        <v>48.002487010286821</v>
      </c>
      <c r="C32" s="20">
        <v>0</v>
      </c>
      <c r="D32" s="20">
        <v>35.397927815097347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53.057545278690398</v>
      </c>
      <c r="L32" s="20">
        <v>51.84883211789041</v>
      </c>
      <c r="M32" s="20">
        <v>47.114441300669668</v>
      </c>
      <c r="N32" s="20">
        <v>47.114441300669668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</row>
    <row r="33" spans="1:26" x14ac:dyDescent="0.3">
      <c r="A33" s="9" t="s">
        <v>13</v>
      </c>
      <c r="B33" s="24">
        <f>B31*B32</f>
        <v>1445.28</v>
      </c>
      <c r="C33" s="24">
        <f t="shared" ref="C33:N33" si="8">C31*C32</f>
        <v>0</v>
      </c>
      <c r="D33" s="24">
        <f t="shared" si="8"/>
        <v>771.03199999999993</v>
      </c>
      <c r="E33" s="24">
        <f t="shared" si="8"/>
        <v>0</v>
      </c>
      <c r="F33" s="24">
        <f t="shared" si="8"/>
        <v>0</v>
      </c>
      <c r="G33" s="24">
        <f t="shared" si="8"/>
        <v>0</v>
      </c>
      <c r="H33" s="24">
        <f t="shared" si="8"/>
        <v>0</v>
      </c>
      <c r="I33" s="24">
        <f t="shared" si="8"/>
        <v>0</v>
      </c>
      <c r="J33" s="24">
        <f t="shared" si="8"/>
        <v>0</v>
      </c>
      <c r="K33" s="24">
        <f t="shared" si="8"/>
        <v>14998.916000000001</v>
      </c>
      <c r="L33" s="24">
        <f t="shared" si="8"/>
        <v>29807.119999999999</v>
      </c>
      <c r="M33" s="24">
        <f t="shared" si="8"/>
        <v>8217.9759999999987</v>
      </c>
      <c r="N33" s="24">
        <f t="shared" si="8"/>
        <v>8217.9759999999987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</row>
    <row r="34" spans="1:26" x14ac:dyDescent="0.3">
      <c r="A34" s="27" t="s">
        <v>2</v>
      </c>
      <c r="B34" s="65"/>
      <c r="C34" s="66"/>
      <c r="D34" s="66"/>
      <c r="E34" s="66"/>
      <c r="F34" s="66"/>
      <c r="G34" s="64"/>
      <c r="H34" s="64"/>
      <c r="I34" s="64"/>
      <c r="J34" s="64"/>
      <c r="K34" s="64"/>
      <c r="L34" s="64"/>
      <c r="M34" s="64"/>
      <c r="N34" s="63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x14ac:dyDescent="0.3">
      <c r="A35" s="9" t="s">
        <v>13</v>
      </c>
      <c r="B35" s="24">
        <v>778.84400000000005</v>
      </c>
      <c r="C35" s="24">
        <v>4191.076</v>
      </c>
      <c r="D35" s="24">
        <v>4837.24</v>
      </c>
      <c r="E35" s="24">
        <v>2657.0720000000001</v>
      </c>
      <c r="F35" s="24">
        <v>3103.1</v>
      </c>
      <c r="G35" s="24">
        <v>4662.3999999999996</v>
      </c>
      <c r="H35" s="24">
        <v>5135.3359999999993</v>
      </c>
      <c r="I35" s="24">
        <v>3453.6479999999997</v>
      </c>
      <c r="J35" s="24">
        <v>1095.2920000000001</v>
      </c>
      <c r="K35" s="24">
        <v>4736.4279999999999</v>
      </c>
      <c r="L35" s="24">
        <v>6058.8879999999999</v>
      </c>
      <c r="M35" s="24">
        <v>2990.7560000000003</v>
      </c>
      <c r="N35" s="24">
        <v>2990.7560000000003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</row>
    <row r="36" spans="1:26" x14ac:dyDescent="0.3">
      <c r="A36" s="27" t="s">
        <v>10</v>
      </c>
      <c r="B36" s="34">
        <f t="shared" ref="B36:N36" si="9">B5+B9+B13+B17+B21+B25+B29+B33+B35</f>
        <v>135435.68620519497</v>
      </c>
      <c r="C36" s="34">
        <f t="shared" si="9"/>
        <v>244562.49868600001</v>
      </c>
      <c r="D36" s="34">
        <f t="shared" si="9"/>
        <v>321836.11647199997</v>
      </c>
      <c r="E36" s="34">
        <f t="shared" si="9"/>
        <v>251700.584088</v>
      </c>
      <c r="F36" s="34">
        <f t="shared" si="9"/>
        <v>216272.40496000004</v>
      </c>
      <c r="G36" s="34">
        <f t="shared" si="9"/>
        <v>288852.44839999999</v>
      </c>
      <c r="H36" s="34">
        <f t="shared" si="9"/>
        <v>319230.19959999999</v>
      </c>
      <c r="I36" s="34">
        <f t="shared" si="9"/>
        <v>276102.00459999999</v>
      </c>
      <c r="J36" s="34">
        <f t="shared" si="9"/>
        <v>202930.22502851766</v>
      </c>
      <c r="K36" s="34">
        <f t="shared" si="9"/>
        <v>325847.1829512</v>
      </c>
      <c r="L36" s="34">
        <f t="shared" si="9"/>
        <v>438334.63400043797</v>
      </c>
      <c r="M36" s="34">
        <f t="shared" si="9"/>
        <v>285642.57159265963</v>
      </c>
      <c r="N36" s="34">
        <f t="shared" si="9"/>
        <v>257525.83840000001</v>
      </c>
      <c r="O36" s="38">
        <f t="shared" ref="O36:X36" si="10">O5+O9+O13+O17+O21+O25+O29+O33+O35</f>
        <v>0</v>
      </c>
      <c r="P36" s="38">
        <f t="shared" ref="P36:Q36" si="11">P5+P9+P13+P17+P21+P25+P29+P33+P35</f>
        <v>0</v>
      </c>
      <c r="Q36" s="38">
        <f t="shared" si="11"/>
        <v>0</v>
      </c>
      <c r="R36" s="38">
        <f t="shared" ref="R36" si="12">R5+R9+R13+R17+R21+R25+R29+R33+R35</f>
        <v>0</v>
      </c>
      <c r="S36" s="38">
        <f t="shared" si="10"/>
        <v>0</v>
      </c>
      <c r="T36" s="38">
        <f t="shared" si="10"/>
        <v>0</v>
      </c>
      <c r="U36" s="38">
        <f t="shared" si="10"/>
        <v>0</v>
      </c>
      <c r="V36" s="38">
        <f t="shared" si="10"/>
        <v>0</v>
      </c>
      <c r="W36" s="38">
        <f t="shared" si="10"/>
        <v>0</v>
      </c>
      <c r="X36" s="38">
        <f t="shared" si="10"/>
        <v>0</v>
      </c>
      <c r="Y36" s="38">
        <f>Y5+Y9+Y13+Y17+Y21+Y25+Y29+Y33+Y35</f>
        <v>0</v>
      </c>
      <c r="Z36" s="38">
        <f>Z5+Z9+Z13+Z17+Z21+Z25+Z29+Z33+Z35</f>
        <v>0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workbookViewId="0">
      <selection activeCell="F16" sqref="F16"/>
    </sheetView>
  </sheetViews>
  <sheetFormatPr defaultColWidth="8.88671875" defaultRowHeight="15.05" x14ac:dyDescent="0.3"/>
  <cols>
    <col min="1" max="1" width="29.109375" customWidth="1"/>
    <col min="2" max="2" width="11.88671875" style="14" customWidth="1"/>
    <col min="3" max="4" width="12.109375" style="14" customWidth="1"/>
    <col min="5" max="5" width="12.44140625" style="14" customWidth="1"/>
    <col min="6" max="6" width="14.88671875" style="14" customWidth="1"/>
    <col min="7" max="7" width="11.88671875" customWidth="1"/>
    <col min="8" max="8" width="11" customWidth="1"/>
    <col min="9" max="9" width="11.109375" customWidth="1"/>
    <col min="10" max="10" width="10" customWidth="1"/>
    <col min="11" max="11" width="11.88671875" customWidth="1"/>
    <col min="12" max="13" width="10" customWidth="1"/>
    <col min="14" max="14" width="12.33203125" customWidth="1"/>
    <col min="15" max="15" width="13.44140625" customWidth="1"/>
    <col min="16" max="16" width="12.5546875" customWidth="1"/>
    <col min="17" max="17" width="12" customWidth="1"/>
    <col min="18" max="18" width="14" customWidth="1"/>
    <col min="19" max="19" width="11.33203125" customWidth="1"/>
    <col min="20" max="20" width="13.88671875" customWidth="1"/>
    <col min="21" max="21" width="12.5546875" customWidth="1"/>
    <col min="22" max="22" width="11.88671875" customWidth="1"/>
    <col min="23" max="23" width="12" customWidth="1"/>
    <col min="24" max="24" width="11.88671875" customWidth="1"/>
    <col min="25" max="25" width="10.109375" customWidth="1"/>
    <col min="26" max="26" width="11.88671875" customWidth="1"/>
    <col min="214" max="214" width="65.109375" bestFit="1" customWidth="1"/>
    <col min="215" max="215" width="15.109375" customWidth="1"/>
    <col min="216" max="216" width="14.44140625" customWidth="1"/>
    <col min="217" max="219" width="17.109375" bestFit="1" customWidth="1"/>
    <col min="220" max="220" width="18.88671875" customWidth="1"/>
    <col min="221" max="221" width="19.44140625" customWidth="1"/>
    <col min="222" max="223" width="17.109375" bestFit="1" customWidth="1"/>
    <col min="224" max="224" width="11.44140625" customWidth="1"/>
    <col min="225" max="225" width="13.109375" customWidth="1"/>
    <col min="226" max="226" width="13" customWidth="1"/>
    <col min="227" max="227" width="13.109375" customWidth="1"/>
    <col min="228" max="228" width="11.44140625" customWidth="1"/>
    <col min="229" max="229" width="13.44140625" customWidth="1"/>
    <col min="230" max="230" width="12.44140625" customWidth="1"/>
    <col min="231" max="231" width="12.5546875" customWidth="1"/>
    <col min="470" max="470" width="65.109375" bestFit="1" customWidth="1"/>
    <col min="471" max="471" width="15.109375" customWidth="1"/>
    <col min="472" max="472" width="14.44140625" customWidth="1"/>
    <col min="473" max="475" width="17.109375" bestFit="1" customWidth="1"/>
    <col min="476" max="476" width="18.88671875" customWidth="1"/>
    <col min="477" max="477" width="19.44140625" customWidth="1"/>
    <col min="478" max="479" width="17.109375" bestFit="1" customWidth="1"/>
    <col min="480" max="480" width="11.44140625" customWidth="1"/>
    <col min="481" max="481" width="13.109375" customWidth="1"/>
    <col min="482" max="482" width="13" customWidth="1"/>
    <col min="483" max="483" width="13.109375" customWidth="1"/>
    <col min="484" max="484" width="11.44140625" customWidth="1"/>
    <col min="485" max="485" width="13.44140625" customWidth="1"/>
    <col min="486" max="486" width="12.44140625" customWidth="1"/>
    <col min="487" max="487" width="12.5546875" customWidth="1"/>
    <col min="726" max="726" width="65.109375" bestFit="1" customWidth="1"/>
    <col min="727" max="727" width="15.109375" customWidth="1"/>
    <col min="728" max="728" width="14.44140625" customWidth="1"/>
    <col min="729" max="731" width="17.109375" bestFit="1" customWidth="1"/>
    <col min="732" max="732" width="18.88671875" customWidth="1"/>
    <col min="733" max="733" width="19.44140625" customWidth="1"/>
    <col min="734" max="735" width="17.109375" bestFit="1" customWidth="1"/>
    <col min="736" max="736" width="11.44140625" customWidth="1"/>
    <col min="737" max="737" width="13.109375" customWidth="1"/>
    <col min="738" max="738" width="13" customWidth="1"/>
    <col min="739" max="739" width="13.109375" customWidth="1"/>
    <col min="740" max="740" width="11.44140625" customWidth="1"/>
    <col min="741" max="741" width="13.44140625" customWidth="1"/>
    <col min="742" max="742" width="12.44140625" customWidth="1"/>
    <col min="743" max="743" width="12.5546875" customWidth="1"/>
    <col min="982" max="982" width="65.109375" bestFit="1" customWidth="1"/>
    <col min="983" max="983" width="15.109375" customWidth="1"/>
    <col min="984" max="984" width="14.44140625" customWidth="1"/>
    <col min="985" max="987" width="17.109375" bestFit="1" customWidth="1"/>
    <col min="988" max="988" width="18.88671875" customWidth="1"/>
    <col min="989" max="989" width="19.44140625" customWidth="1"/>
    <col min="990" max="991" width="17.109375" bestFit="1" customWidth="1"/>
    <col min="992" max="992" width="11.44140625" customWidth="1"/>
    <col min="993" max="993" width="13.109375" customWidth="1"/>
    <col min="994" max="994" width="13" customWidth="1"/>
    <col min="995" max="995" width="13.109375" customWidth="1"/>
    <col min="996" max="996" width="11.44140625" customWidth="1"/>
    <col min="997" max="997" width="13.44140625" customWidth="1"/>
    <col min="998" max="998" width="12.44140625" customWidth="1"/>
    <col min="999" max="999" width="12.5546875" customWidth="1"/>
    <col min="1238" max="1238" width="65.109375" bestFit="1" customWidth="1"/>
    <col min="1239" max="1239" width="15.109375" customWidth="1"/>
    <col min="1240" max="1240" width="14.44140625" customWidth="1"/>
    <col min="1241" max="1243" width="17.109375" bestFit="1" customWidth="1"/>
    <col min="1244" max="1244" width="18.88671875" customWidth="1"/>
    <col min="1245" max="1245" width="19.44140625" customWidth="1"/>
    <col min="1246" max="1247" width="17.109375" bestFit="1" customWidth="1"/>
    <col min="1248" max="1248" width="11.44140625" customWidth="1"/>
    <col min="1249" max="1249" width="13.109375" customWidth="1"/>
    <col min="1250" max="1250" width="13" customWidth="1"/>
    <col min="1251" max="1251" width="13.109375" customWidth="1"/>
    <col min="1252" max="1252" width="11.44140625" customWidth="1"/>
    <col min="1253" max="1253" width="13.44140625" customWidth="1"/>
    <col min="1254" max="1254" width="12.44140625" customWidth="1"/>
    <col min="1255" max="1255" width="12.5546875" customWidth="1"/>
    <col min="1494" max="1494" width="65.109375" bestFit="1" customWidth="1"/>
    <col min="1495" max="1495" width="15.109375" customWidth="1"/>
    <col min="1496" max="1496" width="14.44140625" customWidth="1"/>
    <col min="1497" max="1499" width="17.109375" bestFit="1" customWidth="1"/>
    <col min="1500" max="1500" width="18.88671875" customWidth="1"/>
    <col min="1501" max="1501" width="19.44140625" customWidth="1"/>
    <col min="1502" max="1503" width="17.109375" bestFit="1" customWidth="1"/>
    <col min="1504" max="1504" width="11.44140625" customWidth="1"/>
    <col min="1505" max="1505" width="13.109375" customWidth="1"/>
    <col min="1506" max="1506" width="13" customWidth="1"/>
    <col min="1507" max="1507" width="13.109375" customWidth="1"/>
    <col min="1508" max="1508" width="11.44140625" customWidth="1"/>
    <col min="1509" max="1509" width="13.44140625" customWidth="1"/>
    <col min="1510" max="1510" width="12.44140625" customWidth="1"/>
    <col min="1511" max="1511" width="12.5546875" customWidth="1"/>
    <col min="1750" max="1750" width="65.109375" bestFit="1" customWidth="1"/>
    <col min="1751" max="1751" width="15.109375" customWidth="1"/>
    <col min="1752" max="1752" width="14.44140625" customWidth="1"/>
    <col min="1753" max="1755" width="17.109375" bestFit="1" customWidth="1"/>
    <col min="1756" max="1756" width="18.88671875" customWidth="1"/>
    <col min="1757" max="1757" width="19.44140625" customWidth="1"/>
    <col min="1758" max="1759" width="17.109375" bestFit="1" customWidth="1"/>
    <col min="1760" max="1760" width="11.44140625" customWidth="1"/>
    <col min="1761" max="1761" width="13.109375" customWidth="1"/>
    <col min="1762" max="1762" width="13" customWidth="1"/>
    <col min="1763" max="1763" width="13.109375" customWidth="1"/>
    <col min="1764" max="1764" width="11.44140625" customWidth="1"/>
    <col min="1765" max="1765" width="13.44140625" customWidth="1"/>
    <col min="1766" max="1766" width="12.44140625" customWidth="1"/>
    <col min="1767" max="1767" width="12.5546875" customWidth="1"/>
    <col min="2006" max="2006" width="65.109375" bestFit="1" customWidth="1"/>
    <col min="2007" max="2007" width="15.109375" customWidth="1"/>
    <col min="2008" max="2008" width="14.44140625" customWidth="1"/>
    <col min="2009" max="2011" width="17.109375" bestFit="1" customWidth="1"/>
    <col min="2012" max="2012" width="18.88671875" customWidth="1"/>
    <col min="2013" max="2013" width="19.44140625" customWidth="1"/>
    <col min="2014" max="2015" width="17.109375" bestFit="1" customWidth="1"/>
    <col min="2016" max="2016" width="11.44140625" customWidth="1"/>
    <col min="2017" max="2017" width="13.109375" customWidth="1"/>
    <col min="2018" max="2018" width="13" customWidth="1"/>
    <col min="2019" max="2019" width="13.109375" customWidth="1"/>
    <col min="2020" max="2020" width="11.44140625" customWidth="1"/>
    <col min="2021" max="2021" width="13.44140625" customWidth="1"/>
    <col min="2022" max="2022" width="12.44140625" customWidth="1"/>
    <col min="2023" max="2023" width="12.5546875" customWidth="1"/>
    <col min="2262" max="2262" width="65.109375" bestFit="1" customWidth="1"/>
    <col min="2263" max="2263" width="15.109375" customWidth="1"/>
    <col min="2264" max="2264" width="14.44140625" customWidth="1"/>
    <col min="2265" max="2267" width="17.109375" bestFit="1" customWidth="1"/>
    <col min="2268" max="2268" width="18.88671875" customWidth="1"/>
    <col min="2269" max="2269" width="19.44140625" customWidth="1"/>
    <col min="2270" max="2271" width="17.109375" bestFit="1" customWidth="1"/>
    <col min="2272" max="2272" width="11.44140625" customWidth="1"/>
    <col min="2273" max="2273" width="13.109375" customWidth="1"/>
    <col min="2274" max="2274" width="13" customWidth="1"/>
    <col min="2275" max="2275" width="13.109375" customWidth="1"/>
    <col min="2276" max="2276" width="11.44140625" customWidth="1"/>
    <col min="2277" max="2277" width="13.44140625" customWidth="1"/>
    <col min="2278" max="2278" width="12.44140625" customWidth="1"/>
    <col min="2279" max="2279" width="12.5546875" customWidth="1"/>
    <col min="2518" max="2518" width="65.109375" bestFit="1" customWidth="1"/>
    <col min="2519" max="2519" width="15.109375" customWidth="1"/>
    <col min="2520" max="2520" width="14.44140625" customWidth="1"/>
    <col min="2521" max="2523" width="17.109375" bestFit="1" customWidth="1"/>
    <col min="2524" max="2524" width="18.88671875" customWidth="1"/>
    <col min="2525" max="2525" width="19.44140625" customWidth="1"/>
    <col min="2526" max="2527" width="17.109375" bestFit="1" customWidth="1"/>
    <col min="2528" max="2528" width="11.44140625" customWidth="1"/>
    <col min="2529" max="2529" width="13.109375" customWidth="1"/>
    <col min="2530" max="2530" width="13" customWidth="1"/>
    <col min="2531" max="2531" width="13.109375" customWidth="1"/>
    <col min="2532" max="2532" width="11.44140625" customWidth="1"/>
    <col min="2533" max="2533" width="13.44140625" customWidth="1"/>
    <col min="2534" max="2534" width="12.44140625" customWidth="1"/>
    <col min="2535" max="2535" width="12.5546875" customWidth="1"/>
    <col min="2774" max="2774" width="65.109375" bestFit="1" customWidth="1"/>
    <col min="2775" max="2775" width="15.109375" customWidth="1"/>
    <col min="2776" max="2776" width="14.44140625" customWidth="1"/>
    <col min="2777" max="2779" width="17.109375" bestFit="1" customWidth="1"/>
    <col min="2780" max="2780" width="18.88671875" customWidth="1"/>
    <col min="2781" max="2781" width="19.44140625" customWidth="1"/>
    <col min="2782" max="2783" width="17.109375" bestFit="1" customWidth="1"/>
    <col min="2784" max="2784" width="11.44140625" customWidth="1"/>
    <col min="2785" max="2785" width="13.109375" customWidth="1"/>
    <col min="2786" max="2786" width="13" customWidth="1"/>
    <col min="2787" max="2787" width="13.109375" customWidth="1"/>
    <col min="2788" max="2788" width="11.44140625" customWidth="1"/>
    <col min="2789" max="2789" width="13.44140625" customWidth="1"/>
    <col min="2790" max="2790" width="12.44140625" customWidth="1"/>
    <col min="2791" max="2791" width="12.5546875" customWidth="1"/>
    <col min="3030" max="3030" width="65.109375" bestFit="1" customWidth="1"/>
    <col min="3031" max="3031" width="15.109375" customWidth="1"/>
    <col min="3032" max="3032" width="14.44140625" customWidth="1"/>
    <col min="3033" max="3035" width="17.109375" bestFit="1" customWidth="1"/>
    <col min="3036" max="3036" width="18.88671875" customWidth="1"/>
    <col min="3037" max="3037" width="19.44140625" customWidth="1"/>
    <col min="3038" max="3039" width="17.109375" bestFit="1" customWidth="1"/>
    <col min="3040" max="3040" width="11.44140625" customWidth="1"/>
    <col min="3041" max="3041" width="13.109375" customWidth="1"/>
    <col min="3042" max="3042" width="13" customWidth="1"/>
    <col min="3043" max="3043" width="13.109375" customWidth="1"/>
    <col min="3044" max="3044" width="11.44140625" customWidth="1"/>
    <col min="3045" max="3045" width="13.44140625" customWidth="1"/>
    <col min="3046" max="3046" width="12.44140625" customWidth="1"/>
    <col min="3047" max="3047" width="12.5546875" customWidth="1"/>
    <col min="3286" max="3286" width="65.109375" bestFit="1" customWidth="1"/>
    <col min="3287" max="3287" width="15.109375" customWidth="1"/>
    <col min="3288" max="3288" width="14.44140625" customWidth="1"/>
    <col min="3289" max="3291" width="17.109375" bestFit="1" customWidth="1"/>
    <col min="3292" max="3292" width="18.88671875" customWidth="1"/>
    <col min="3293" max="3293" width="19.44140625" customWidth="1"/>
    <col min="3294" max="3295" width="17.109375" bestFit="1" customWidth="1"/>
    <col min="3296" max="3296" width="11.44140625" customWidth="1"/>
    <col min="3297" max="3297" width="13.109375" customWidth="1"/>
    <col min="3298" max="3298" width="13" customWidth="1"/>
    <col min="3299" max="3299" width="13.109375" customWidth="1"/>
    <col min="3300" max="3300" width="11.44140625" customWidth="1"/>
    <col min="3301" max="3301" width="13.44140625" customWidth="1"/>
    <col min="3302" max="3302" width="12.44140625" customWidth="1"/>
    <col min="3303" max="3303" width="12.5546875" customWidth="1"/>
    <col min="3542" max="3542" width="65.109375" bestFit="1" customWidth="1"/>
    <col min="3543" max="3543" width="15.109375" customWidth="1"/>
    <col min="3544" max="3544" width="14.44140625" customWidth="1"/>
    <col min="3545" max="3547" width="17.109375" bestFit="1" customWidth="1"/>
    <col min="3548" max="3548" width="18.88671875" customWidth="1"/>
    <col min="3549" max="3549" width="19.44140625" customWidth="1"/>
    <col min="3550" max="3551" width="17.109375" bestFit="1" customWidth="1"/>
    <col min="3552" max="3552" width="11.44140625" customWidth="1"/>
    <col min="3553" max="3553" width="13.109375" customWidth="1"/>
    <col min="3554" max="3554" width="13" customWidth="1"/>
    <col min="3555" max="3555" width="13.109375" customWidth="1"/>
    <col min="3556" max="3556" width="11.44140625" customWidth="1"/>
    <col min="3557" max="3557" width="13.44140625" customWidth="1"/>
    <col min="3558" max="3558" width="12.44140625" customWidth="1"/>
    <col min="3559" max="3559" width="12.5546875" customWidth="1"/>
    <col min="3798" max="3798" width="65.109375" bestFit="1" customWidth="1"/>
    <col min="3799" max="3799" width="15.109375" customWidth="1"/>
    <col min="3800" max="3800" width="14.44140625" customWidth="1"/>
    <col min="3801" max="3803" width="17.109375" bestFit="1" customWidth="1"/>
    <col min="3804" max="3804" width="18.88671875" customWidth="1"/>
    <col min="3805" max="3805" width="19.44140625" customWidth="1"/>
    <col min="3806" max="3807" width="17.109375" bestFit="1" customWidth="1"/>
    <col min="3808" max="3808" width="11.44140625" customWidth="1"/>
    <col min="3809" max="3809" width="13.109375" customWidth="1"/>
    <col min="3810" max="3810" width="13" customWidth="1"/>
    <col min="3811" max="3811" width="13.109375" customWidth="1"/>
    <col min="3812" max="3812" width="11.44140625" customWidth="1"/>
    <col min="3813" max="3813" width="13.44140625" customWidth="1"/>
    <col min="3814" max="3814" width="12.44140625" customWidth="1"/>
    <col min="3815" max="3815" width="12.5546875" customWidth="1"/>
    <col min="4054" max="4054" width="65.109375" bestFit="1" customWidth="1"/>
    <col min="4055" max="4055" width="15.109375" customWidth="1"/>
    <col min="4056" max="4056" width="14.44140625" customWidth="1"/>
    <col min="4057" max="4059" width="17.109375" bestFit="1" customWidth="1"/>
    <col min="4060" max="4060" width="18.88671875" customWidth="1"/>
    <col min="4061" max="4061" width="19.44140625" customWidth="1"/>
    <col min="4062" max="4063" width="17.109375" bestFit="1" customWidth="1"/>
    <col min="4064" max="4064" width="11.44140625" customWidth="1"/>
    <col min="4065" max="4065" width="13.109375" customWidth="1"/>
    <col min="4066" max="4066" width="13" customWidth="1"/>
    <col min="4067" max="4067" width="13.109375" customWidth="1"/>
    <col min="4068" max="4068" width="11.44140625" customWidth="1"/>
    <col min="4069" max="4069" width="13.44140625" customWidth="1"/>
    <col min="4070" max="4070" width="12.44140625" customWidth="1"/>
    <col min="4071" max="4071" width="12.5546875" customWidth="1"/>
    <col min="4310" max="4310" width="65.109375" bestFit="1" customWidth="1"/>
    <col min="4311" max="4311" width="15.109375" customWidth="1"/>
    <col min="4312" max="4312" width="14.44140625" customWidth="1"/>
    <col min="4313" max="4315" width="17.109375" bestFit="1" customWidth="1"/>
    <col min="4316" max="4316" width="18.88671875" customWidth="1"/>
    <col min="4317" max="4317" width="19.44140625" customWidth="1"/>
    <col min="4318" max="4319" width="17.109375" bestFit="1" customWidth="1"/>
    <col min="4320" max="4320" width="11.44140625" customWidth="1"/>
    <col min="4321" max="4321" width="13.109375" customWidth="1"/>
    <col min="4322" max="4322" width="13" customWidth="1"/>
    <col min="4323" max="4323" width="13.109375" customWidth="1"/>
    <col min="4324" max="4324" width="11.44140625" customWidth="1"/>
    <col min="4325" max="4325" width="13.44140625" customWidth="1"/>
    <col min="4326" max="4326" width="12.44140625" customWidth="1"/>
    <col min="4327" max="4327" width="12.5546875" customWidth="1"/>
    <col min="4566" max="4566" width="65.109375" bestFit="1" customWidth="1"/>
    <col min="4567" max="4567" width="15.109375" customWidth="1"/>
    <col min="4568" max="4568" width="14.44140625" customWidth="1"/>
    <col min="4569" max="4571" width="17.109375" bestFit="1" customWidth="1"/>
    <col min="4572" max="4572" width="18.88671875" customWidth="1"/>
    <col min="4573" max="4573" width="19.44140625" customWidth="1"/>
    <col min="4574" max="4575" width="17.109375" bestFit="1" customWidth="1"/>
    <col min="4576" max="4576" width="11.44140625" customWidth="1"/>
    <col min="4577" max="4577" width="13.109375" customWidth="1"/>
    <col min="4578" max="4578" width="13" customWidth="1"/>
    <col min="4579" max="4579" width="13.109375" customWidth="1"/>
    <col min="4580" max="4580" width="11.44140625" customWidth="1"/>
    <col min="4581" max="4581" width="13.44140625" customWidth="1"/>
    <col min="4582" max="4582" width="12.44140625" customWidth="1"/>
    <col min="4583" max="4583" width="12.5546875" customWidth="1"/>
    <col min="4822" max="4822" width="65.109375" bestFit="1" customWidth="1"/>
    <col min="4823" max="4823" width="15.109375" customWidth="1"/>
    <col min="4824" max="4824" width="14.44140625" customWidth="1"/>
    <col min="4825" max="4827" width="17.109375" bestFit="1" customWidth="1"/>
    <col min="4828" max="4828" width="18.88671875" customWidth="1"/>
    <col min="4829" max="4829" width="19.44140625" customWidth="1"/>
    <col min="4830" max="4831" width="17.109375" bestFit="1" customWidth="1"/>
    <col min="4832" max="4832" width="11.44140625" customWidth="1"/>
    <col min="4833" max="4833" width="13.109375" customWidth="1"/>
    <col min="4834" max="4834" width="13" customWidth="1"/>
    <col min="4835" max="4835" width="13.109375" customWidth="1"/>
    <col min="4836" max="4836" width="11.44140625" customWidth="1"/>
    <col min="4837" max="4837" width="13.44140625" customWidth="1"/>
    <col min="4838" max="4838" width="12.44140625" customWidth="1"/>
    <col min="4839" max="4839" width="12.5546875" customWidth="1"/>
    <col min="5078" max="5078" width="65.109375" bestFit="1" customWidth="1"/>
    <col min="5079" max="5079" width="15.109375" customWidth="1"/>
    <col min="5080" max="5080" width="14.44140625" customWidth="1"/>
    <col min="5081" max="5083" width="17.109375" bestFit="1" customWidth="1"/>
    <col min="5084" max="5084" width="18.88671875" customWidth="1"/>
    <col min="5085" max="5085" width="19.44140625" customWidth="1"/>
    <col min="5086" max="5087" width="17.109375" bestFit="1" customWidth="1"/>
    <col min="5088" max="5088" width="11.44140625" customWidth="1"/>
    <col min="5089" max="5089" width="13.109375" customWidth="1"/>
    <col min="5090" max="5090" width="13" customWidth="1"/>
    <col min="5091" max="5091" width="13.109375" customWidth="1"/>
    <col min="5092" max="5092" width="11.44140625" customWidth="1"/>
    <col min="5093" max="5093" width="13.44140625" customWidth="1"/>
    <col min="5094" max="5094" width="12.44140625" customWidth="1"/>
    <col min="5095" max="5095" width="12.5546875" customWidth="1"/>
    <col min="5334" max="5334" width="65.109375" bestFit="1" customWidth="1"/>
    <col min="5335" max="5335" width="15.109375" customWidth="1"/>
    <col min="5336" max="5336" width="14.44140625" customWidth="1"/>
    <col min="5337" max="5339" width="17.109375" bestFit="1" customWidth="1"/>
    <col min="5340" max="5340" width="18.88671875" customWidth="1"/>
    <col min="5341" max="5341" width="19.44140625" customWidth="1"/>
    <col min="5342" max="5343" width="17.109375" bestFit="1" customWidth="1"/>
    <col min="5344" max="5344" width="11.44140625" customWidth="1"/>
    <col min="5345" max="5345" width="13.109375" customWidth="1"/>
    <col min="5346" max="5346" width="13" customWidth="1"/>
    <col min="5347" max="5347" width="13.109375" customWidth="1"/>
    <col min="5348" max="5348" width="11.44140625" customWidth="1"/>
    <col min="5349" max="5349" width="13.44140625" customWidth="1"/>
    <col min="5350" max="5350" width="12.44140625" customWidth="1"/>
    <col min="5351" max="5351" width="12.5546875" customWidth="1"/>
    <col min="5590" max="5590" width="65.109375" bestFit="1" customWidth="1"/>
    <col min="5591" max="5591" width="15.109375" customWidth="1"/>
    <col min="5592" max="5592" width="14.44140625" customWidth="1"/>
    <col min="5593" max="5595" width="17.109375" bestFit="1" customWidth="1"/>
    <col min="5596" max="5596" width="18.88671875" customWidth="1"/>
    <col min="5597" max="5597" width="19.44140625" customWidth="1"/>
    <col min="5598" max="5599" width="17.109375" bestFit="1" customWidth="1"/>
    <col min="5600" max="5600" width="11.44140625" customWidth="1"/>
    <col min="5601" max="5601" width="13.109375" customWidth="1"/>
    <col min="5602" max="5602" width="13" customWidth="1"/>
    <col min="5603" max="5603" width="13.109375" customWidth="1"/>
    <col min="5604" max="5604" width="11.44140625" customWidth="1"/>
    <col min="5605" max="5605" width="13.44140625" customWidth="1"/>
    <col min="5606" max="5606" width="12.44140625" customWidth="1"/>
    <col min="5607" max="5607" width="12.5546875" customWidth="1"/>
    <col min="5846" max="5846" width="65.109375" bestFit="1" customWidth="1"/>
    <col min="5847" max="5847" width="15.109375" customWidth="1"/>
    <col min="5848" max="5848" width="14.44140625" customWidth="1"/>
    <col min="5849" max="5851" width="17.109375" bestFit="1" customWidth="1"/>
    <col min="5852" max="5852" width="18.88671875" customWidth="1"/>
    <col min="5853" max="5853" width="19.44140625" customWidth="1"/>
    <col min="5854" max="5855" width="17.109375" bestFit="1" customWidth="1"/>
    <col min="5856" max="5856" width="11.44140625" customWidth="1"/>
    <col min="5857" max="5857" width="13.109375" customWidth="1"/>
    <col min="5858" max="5858" width="13" customWidth="1"/>
    <col min="5859" max="5859" width="13.109375" customWidth="1"/>
    <col min="5860" max="5860" width="11.44140625" customWidth="1"/>
    <col min="5861" max="5861" width="13.44140625" customWidth="1"/>
    <col min="5862" max="5862" width="12.44140625" customWidth="1"/>
    <col min="5863" max="5863" width="12.5546875" customWidth="1"/>
    <col min="6102" max="6102" width="65.109375" bestFit="1" customWidth="1"/>
    <col min="6103" max="6103" width="15.109375" customWidth="1"/>
    <col min="6104" max="6104" width="14.44140625" customWidth="1"/>
    <col min="6105" max="6107" width="17.109375" bestFit="1" customWidth="1"/>
    <col min="6108" max="6108" width="18.88671875" customWidth="1"/>
    <col min="6109" max="6109" width="19.44140625" customWidth="1"/>
    <col min="6110" max="6111" width="17.109375" bestFit="1" customWidth="1"/>
    <col min="6112" max="6112" width="11.44140625" customWidth="1"/>
    <col min="6113" max="6113" width="13.109375" customWidth="1"/>
    <col min="6114" max="6114" width="13" customWidth="1"/>
    <col min="6115" max="6115" width="13.109375" customWidth="1"/>
    <col min="6116" max="6116" width="11.44140625" customWidth="1"/>
    <col min="6117" max="6117" width="13.44140625" customWidth="1"/>
    <col min="6118" max="6118" width="12.44140625" customWidth="1"/>
    <col min="6119" max="6119" width="12.5546875" customWidth="1"/>
    <col min="6358" max="6358" width="65.109375" bestFit="1" customWidth="1"/>
    <col min="6359" max="6359" width="15.109375" customWidth="1"/>
    <col min="6360" max="6360" width="14.44140625" customWidth="1"/>
    <col min="6361" max="6363" width="17.109375" bestFit="1" customWidth="1"/>
    <col min="6364" max="6364" width="18.88671875" customWidth="1"/>
    <col min="6365" max="6365" width="19.44140625" customWidth="1"/>
    <col min="6366" max="6367" width="17.109375" bestFit="1" customWidth="1"/>
    <col min="6368" max="6368" width="11.44140625" customWidth="1"/>
    <col min="6369" max="6369" width="13.109375" customWidth="1"/>
    <col min="6370" max="6370" width="13" customWidth="1"/>
    <col min="6371" max="6371" width="13.109375" customWidth="1"/>
    <col min="6372" max="6372" width="11.44140625" customWidth="1"/>
    <col min="6373" max="6373" width="13.44140625" customWidth="1"/>
    <col min="6374" max="6374" width="12.44140625" customWidth="1"/>
    <col min="6375" max="6375" width="12.5546875" customWidth="1"/>
    <col min="6614" max="6614" width="65.109375" bestFit="1" customWidth="1"/>
    <col min="6615" max="6615" width="15.109375" customWidth="1"/>
    <col min="6616" max="6616" width="14.44140625" customWidth="1"/>
    <col min="6617" max="6619" width="17.109375" bestFit="1" customWidth="1"/>
    <col min="6620" max="6620" width="18.88671875" customWidth="1"/>
    <col min="6621" max="6621" width="19.44140625" customWidth="1"/>
    <col min="6622" max="6623" width="17.109375" bestFit="1" customWidth="1"/>
    <col min="6624" max="6624" width="11.44140625" customWidth="1"/>
    <col min="6625" max="6625" width="13.109375" customWidth="1"/>
    <col min="6626" max="6626" width="13" customWidth="1"/>
    <col min="6627" max="6627" width="13.109375" customWidth="1"/>
    <col min="6628" max="6628" width="11.44140625" customWidth="1"/>
    <col min="6629" max="6629" width="13.44140625" customWidth="1"/>
    <col min="6630" max="6630" width="12.44140625" customWidth="1"/>
    <col min="6631" max="6631" width="12.5546875" customWidth="1"/>
    <col min="6870" max="6870" width="65.109375" bestFit="1" customWidth="1"/>
    <col min="6871" max="6871" width="15.109375" customWidth="1"/>
    <col min="6872" max="6872" width="14.44140625" customWidth="1"/>
    <col min="6873" max="6875" width="17.109375" bestFit="1" customWidth="1"/>
    <col min="6876" max="6876" width="18.88671875" customWidth="1"/>
    <col min="6877" max="6877" width="19.44140625" customWidth="1"/>
    <col min="6878" max="6879" width="17.109375" bestFit="1" customWidth="1"/>
    <col min="6880" max="6880" width="11.44140625" customWidth="1"/>
    <col min="6881" max="6881" width="13.109375" customWidth="1"/>
    <col min="6882" max="6882" width="13" customWidth="1"/>
    <col min="6883" max="6883" width="13.109375" customWidth="1"/>
    <col min="6884" max="6884" width="11.44140625" customWidth="1"/>
    <col min="6885" max="6885" width="13.44140625" customWidth="1"/>
    <col min="6886" max="6886" width="12.44140625" customWidth="1"/>
    <col min="6887" max="6887" width="12.5546875" customWidth="1"/>
    <col min="7126" max="7126" width="65.109375" bestFit="1" customWidth="1"/>
    <col min="7127" max="7127" width="15.109375" customWidth="1"/>
    <col min="7128" max="7128" width="14.44140625" customWidth="1"/>
    <col min="7129" max="7131" width="17.109375" bestFit="1" customWidth="1"/>
    <col min="7132" max="7132" width="18.88671875" customWidth="1"/>
    <col min="7133" max="7133" width="19.44140625" customWidth="1"/>
    <col min="7134" max="7135" width="17.109375" bestFit="1" customWidth="1"/>
    <col min="7136" max="7136" width="11.44140625" customWidth="1"/>
    <col min="7137" max="7137" width="13.109375" customWidth="1"/>
    <col min="7138" max="7138" width="13" customWidth="1"/>
    <col min="7139" max="7139" width="13.109375" customWidth="1"/>
    <col min="7140" max="7140" width="11.44140625" customWidth="1"/>
    <col min="7141" max="7141" width="13.44140625" customWidth="1"/>
    <col min="7142" max="7142" width="12.44140625" customWidth="1"/>
    <col min="7143" max="7143" width="12.5546875" customWidth="1"/>
    <col min="7382" max="7382" width="65.109375" bestFit="1" customWidth="1"/>
    <col min="7383" max="7383" width="15.109375" customWidth="1"/>
    <col min="7384" max="7384" width="14.44140625" customWidth="1"/>
    <col min="7385" max="7387" width="17.109375" bestFit="1" customWidth="1"/>
    <col min="7388" max="7388" width="18.88671875" customWidth="1"/>
    <col min="7389" max="7389" width="19.44140625" customWidth="1"/>
    <col min="7390" max="7391" width="17.109375" bestFit="1" customWidth="1"/>
    <col min="7392" max="7392" width="11.44140625" customWidth="1"/>
    <col min="7393" max="7393" width="13.109375" customWidth="1"/>
    <col min="7394" max="7394" width="13" customWidth="1"/>
    <col min="7395" max="7395" width="13.109375" customWidth="1"/>
    <col min="7396" max="7396" width="11.44140625" customWidth="1"/>
    <col min="7397" max="7397" width="13.44140625" customWidth="1"/>
    <col min="7398" max="7398" width="12.44140625" customWidth="1"/>
    <col min="7399" max="7399" width="12.5546875" customWidth="1"/>
    <col min="7638" max="7638" width="65.109375" bestFit="1" customWidth="1"/>
    <col min="7639" max="7639" width="15.109375" customWidth="1"/>
    <col min="7640" max="7640" width="14.44140625" customWidth="1"/>
    <col min="7641" max="7643" width="17.109375" bestFit="1" customWidth="1"/>
    <col min="7644" max="7644" width="18.88671875" customWidth="1"/>
    <col min="7645" max="7645" width="19.44140625" customWidth="1"/>
    <col min="7646" max="7647" width="17.109375" bestFit="1" customWidth="1"/>
    <col min="7648" max="7648" width="11.44140625" customWidth="1"/>
    <col min="7649" max="7649" width="13.109375" customWidth="1"/>
    <col min="7650" max="7650" width="13" customWidth="1"/>
    <col min="7651" max="7651" width="13.109375" customWidth="1"/>
    <col min="7652" max="7652" width="11.44140625" customWidth="1"/>
    <col min="7653" max="7653" width="13.44140625" customWidth="1"/>
    <col min="7654" max="7654" width="12.44140625" customWidth="1"/>
    <col min="7655" max="7655" width="12.5546875" customWidth="1"/>
    <col min="7894" max="7894" width="65.109375" bestFit="1" customWidth="1"/>
    <col min="7895" max="7895" width="15.109375" customWidth="1"/>
    <col min="7896" max="7896" width="14.44140625" customWidth="1"/>
    <col min="7897" max="7899" width="17.109375" bestFit="1" customWidth="1"/>
    <col min="7900" max="7900" width="18.88671875" customWidth="1"/>
    <col min="7901" max="7901" width="19.44140625" customWidth="1"/>
    <col min="7902" max="7903" width="17.109375" bestFit="1" customWidth="1"/>
    <col min="7904" max="7904" width="11.44140625" customWidth="1"/>
    <col min="7905" max="7905" width="13.109375" customWidth="1"/>
    <col min="7906" max="7906" width="13" customWidth="1"/>
    <col min="7907" max="7907" width="13.109375" customWidth="1"/>
    <col min="7908" max="7908" width="11.44140625" customWidth="1"/>
    <col min="7909" max="7909" width="13.44140625" customWidth="1"/>
    <col min="7910" max="7910" width="12.44140625" customWidth="1"/>
    <col min="7911" max="7911" width="12.5546875" customWidth="1"/>
    <col min="8150" max="8150" width="65.109375" bestFit="1" customWidth="1"/>
    <col min="8151" max="8151" width="15.109375" customWidth="1"/>
    <col min="8152" max="8152" width="14.44140625" customWidth="1"/>
    <col min="8153" max="8155" width="17.109375" bestFit="1" customWidth="1"/>
    <col min="8156" max="8156" width="18.88671875" customWidth="1"/>
    <col min="8157" max="8157" width="19.44140625" customWidth="1"/>
    <col min="8158" max="8159" width="17.109375" bestFit="1" customWidth="1"/>
    <col min="8160" max="8160" width="11.44140625" customWidth="1"/>
    <col min="8161" max="8161" width="13.109375" customWidth="1"/>
    <col min="8162" max="8162" width="13" customWidth="1"/>
    <col min="8163" max="8163" width="13.109375" customWidth="1"/>
    <col min="8164" max="8164" width="11.44140625" customWidth="1"/>
    <col min="8165" max="8165" width="13.44140625" customWidth="1"/>
    <col min="8166" max="8166" width="12.44140625" customWidth="1"/>
    <col min="8167" max="8167" width="12.5546875" customWidth="1"/>
    <col min="8406" max="8406" width="65.109375" bestFit="1" customWidth="1"/>
    <col min="8407" max="8407" width="15.109375" customWidth="1"/>
    <col min="8408" max="8408" width="14.44140625" customWidth="1"/>
    <col min="8409" max="8411" width="17.109375" bestFit="1" customWidth="1"/>
    <col min="8412" max="8412" width="18.88671875" customWidth="1"/>
    <col min="8413" max="8413" width="19.44140625" customWidth="1"/>
    <col min="8414" max="8415" width="17.109375" bestFit="1" customWidth="1"/>
    <col min="8416" max="8416" width="11.44140625" customWidth="1"/>
    <col min="8417" max="8417" width="13.109375" customWidth="1"/>
    <col min="8418" max="8418" width="13" customWidth="1"/>
    <col min="8419" max="8419" width="13.109375" customWidth="1"/>
    <col min="8420" max="8420" width="11.44140625" customWidth="1"/>
    <col min="8421" max="8421" width="13.44140625" customWidth="1"/>
    <col min="8422" max="8422" width="12.44140625" customWidth="1"/>
    <col min="8423" max="8423" width="12.5546875" customWidth="1"/>
    <col min="8662" max="8662" width="65.109375" bestFit="1" customWidth="1"/>
    <col min="8663" max="8663" width="15.109375" customWidth="1"/>
    <col min="8664" max="8664" width="14.44140625" customWidth="1"/>
    <col min="8665" max="8667" width="17.109375" bestFit="1" customWidth="1"/>
    <col min="8668" max="8668" width="18.88671875" customWidth="1"/>
    <col min="8669" max="8669" width="19.44140625" customWidth="1"/>
    <col min="8670" max="8671" width="17.109375" bestFit="1" customWidth="1"/>
    <col min="8672" max="8672" width="11.44140625" customWidth="1"/>
    <col min="8673" max="8673" width="13.109375" customWidth="1"/>
    <col min="8674" max="8674" width="13" customWidth="1"/>
    <col min="8675" max="8675" width="13.109375" customWidth="1"/>
    <col min="8676" max="8676" width="11.44140625" customWidth="1"/>
    <col min="8677" max="8677" width="13.44140625" customWidth="1"/>
    <col min="8678" max="8678" width="12.44140625" customWidth="1"/>
    <col min="8679" max="8679" width="12.5546875" customWidth="1"/>
    <col min="8918" max="8918" width="65.109375" bestFit="1" customWidth="1"/>
    <col min="8919" max="8919" width="15.109375" customWidth="1"/>
    <col min="8920" max="8920" width="14.44140625" customWidth="1"/>
    <col min="8921" max="8923" width="17.109375" bestFit="1" customWidth="1"/>
    <col min="8924" max="8924" width="18.88671875" customWidth="1"/>
    <col min="8925" max="8925" width="19.44140625" customWidth="1"/>
    <col min="8926" max="8927" width="17.109375" bestFit="1" customWidth="1"/>
    <col min="8928" max="8928" width="11.44140625" customWidth="1"/>
    <col min="8929" max="8929" width="13.109375" customWidth="1"/>
    <col min="8930" max="8930" width="13" customWidth="1"/>
    <col min="8931" max="8931" width="13.109375" customWidth="1"/>
    <col min="8932" max="8932" width="11.44140625" customWidth="1"/>
    <col min="8933" max="8933" width="13.44140625" customWidth="1"/>
    <col min="8934" max="8934" width="12.44140625" customWidth="1"/>
    <col min="8935" max="8935" width="12.5546875" customWidth="1"/>
    <col min="9174" max="9174" width="65.109375" bestFit="1" customWidth="1"/>
    <col min="9175" max="9175" width="15.109375" customWidth="1"/>
    <col min="9176" max="9176" width="14.44140625" customWidth="1"/>
    <col min="9177" max="9179" width="17.109375" bestFit="1" customWidth="1"/>
    <col min="9180" max="9180" width="18.88671875" customWidth="1"/>
    <col min="9181" max="9181" width="19.44140625" customWidth="1"/>
    <col min="9182" max="9183" width="17.109375" bestFit="1" customWidth="1"/>
    <col min="9184" max="9184" width="11.44140625" customWidth="1"/>
    <col min="9185" max="9185" width="13.109375" customWidth="1"/>
    <col min="9186" max="9186" width="13" customWidth="1"/>
    <col min="9187" max="9187" width="13.109375" customWidth="1"/>
    <col min="9188" max="9188" width="11.44140625" customWidth="1"/>
    <col min="9189" max="9189" width="13.44140625" customWidth="1"/>
    <col min="9190" max="9190" width="12.44140625" customWidth="1"/>
    <col min="9191" max="9191" width="12.5546875" customWidth="1"/>
    <col min="9430" max="9430" width="65.109375" bestFit="1" customWidth="1"/>
    <col min="9431" max="9431" width="15.109375" customWidth="1"/>
    <col min="9432" max="9432" width="14.44140625" customWidth="1"/>
    <col min="9433" max="9435" width="17.109375" bestFit="1" customWidth="1"/>
    <col min="9436" max="9436" width="18.88671875" customWidth="1"/>
    <col min="9437" max="9437" width="19.44140625" customWidth="1"/>
    <col min="9438" max="9439" width="17.109375" bestFit="1" customWidth="1"/>
    <col min="9440" max="9440" width="11.44140625" customWidth="1"/>
    <col min="9441" max="9441" width="13.109375" customWidth="1"/>
    <col min="9442" max="9442" width="13" customWidth="1"/>
    <col min="9443" max="9443" width="13.109375" customWidth="1"/>
    <col min="9444" max="9444" width="11.44140625" customWidth="1"/>
    <col min="9445" max="9445" width="13.44140625" customWidth="1"/>
    <col min="9446" max="9446" width="12.44140625" customWidth="1"/>
    <col min="9447" max="9447" width="12.5546875" customWidth="1"/>
    <col min="9686" max="9686" width="65.109375" bestFit="1" customWidth="1"/>
    <col min="9687" max="9687" width="15.109375" customWidth="1"/>
    <col min="9688" max="9688" width="14.44140625" customWidth="1"/>
    <col min="9689" max="9691" width="17.109375" bestFit="1" customWidth="1"/>
    <col min="9692" max="9692" width="18.88671875" customWidth="1"/>
    <col min="9693" max="9693" width="19.44140625" customWidth="1"/>
    <col min="9694" max="9695" width="17.109375" bestFit="1" customWidth="1"/>
    <col min="9696" max="9696" width="11.44140625" customWidth="1"/>
    <col min="9697" max="9697" width="13.109375" customWidth="1"/>
    <col min="9698" max="9698" width="13" customWidth="1"/>
    <col min="9699" max="9699" width="13.109375" customWidth="1"/>
    <col min="9700" max="9700" width="11.44140625" customWidth="1"/>
    <col min="9701" max="9701" width="13.44140625" customWidth="1"/>
    <col min="9702" max="9702" width="12.44140625" customWidth="1"/>
    <col min="9703" max="9703" width="12.5546875" customWidth="1"/>
    <col min="9942" max="9942" width="65.109375" bestFit="1" customWidth="1"/>
    <col min="9943" max="9943" width="15.109375" customWidth="1"/>
    <col min="9944" max="9944" width="14.44140625" customWidth="1"/>
    <col min="9945" max="9947" width="17.109375" bestFit="1" customWidth="1"/>
    <col min="9948" max="9948" width="18.88671875" customWidth="1"/>
    <col min="9949" max="9949" width="19.44140625" customWidth="1"/>
    <col min="9950" max="9951" width="17.109375" bestFit="1" customWidth="1"/>
    <col min="9952" max="9952" width="11.44140625" customWidth="1"/>
    <col min="9953" max="9953" width="13.109375" customWidth="1"/>
    <col min="9954" max="9954" width="13" customWidth="1"/>
    <col min="9955" max="9955" width="13.109375" customWidth="1"/>
    <col min="9956" max="9956" width="11.44140625" customWidth="1"/>
    <col min="9957" max="9957" width="13.44140625" customWidth="1"/>
    <col min="9958" max="9958" width="12.44140625" customWidth="1"/>
    <col min="9959" max="9959" width="12.5546875" customWidth="1"/>
    <col min="10198" max="10198" width="65.109375" bestFit="1" customWidth="1"/>
    <col min="10199" max="10199" width="15.109375" customWidth="1"/>
    <col min="10200" max="10200" width="14.44140625" customWidth="1"/>
    <col min="10201" max="10203" width="17.109375" bestFit="1" customWidth="1"/>
    <col min="10204" max="10204" width="18.88671875" customWidth="1"/>
    <col min="10205" max="10205" width="19.44140625" customWidth="1"/>
    <col min="10206" max="10207" width="17.109375" bestFit="1" customWidth="1"/>
    <col min="10208" max="10208" width="11.44140625" customWidth="1"/>
    <col min="10209" max="10209" width="13.109375" customWidth="1"/>
    <col min="10210" max="10210" width="13" customWidth="1"/>
    <col min="10211" max="10211" width="13.109375" customWidth="1"/>
    <col min="10212" max="10212" width="11.44140625" customWidth="1"/>
    <col min="10213" max="10213" width="13.44140625" customWidth="1"/>
    <col min="10214" max="10214" width="12.44140625" customWidth="1"/>
    <col min="10215" max="10215" width="12.5546875" customWidth="1"/>
    <col min="10454" max="10454" width="65.109375" bestFit="1" customWidth="1"/>
    <col min="10455" max="10455" width="15.109375" customWidth="1"/>
    <col min="10456" max="10456" width="14.44140625" customWidth="1"/>
    <col min="10457" max="10459" width="17.109375" bestFit="1" customWidth="1"/>
    <col min="10460" max="10460" width="18.88671875" customWidth="1"/>
    <col min="10461" max="10461" width="19.44140625" customWidth="1"/>
    <col min="10462" max="10463" width="17.109375" bestFit="1" customWidth="1"/>
    <col min="10464" max="10464" width="11.44140625" customWidth="1"/>
    <col min="10465" max="10465" width="13.109375" customWidth="1"/>
    <col min="10466" max="10466" width="13" customWidth="1"/>
    <col min="10467" max="10467" width="13.109375" customWidth="1"/>
    <col min="10468" max="10468" width="11.44140625" customWidth="1"/>
    <col min="10469" max="10469" width="13.44140625" customWidth="1"/>
    <col min="10470" max="10470" width="12.44140625" customWidth="1"/>
    <col min="10471" max="10471" width="12.5546875" customWidth="1"/>
    <col min="10710" max="10710" width="65.109375" bestFit="1" customWidth="1"/>
    <col min="10711" max="10711" width="15.109375" customWidth="1"/>
    <col min="10712" max="10712" width="14.44140625" customWidth="1"/>
    <col min="10713" max="10715" width="17.109375" bestFit="1" customWidth="1"/>
    <col min="10716" max="10716" width="18.88671875" customWidth="1"/>
    <col min="10717" max="10717" width="19.44140625" customWidth="1"/>
    <col min="10718" max="10719" width="17.109375" bestFit="1" customWidth="1"/>
    <col min="10720" max="10720" width="11.44140625" customWidth="1"/>
    <col min="10721" max="10721" width="13.109375" customWidth="1"/>
    <col min="10722" max="10722" width="13" customWidth="1"/>
    <col min="10723" max="10723" width="13.109375" customWidth="1"/>
    <col min="10724" max="10724" width="11.44140625" customWidth="1"/>
    <col min="10725" max="10725" width="13.44140625" customWidth="1"/>
    <col min="10726" max="10726" width="12.44140625" customWidth="1"/>
    <col min="10727" max="10727" width="12.5546875" customWidth="1"/>
    <col min="10966" max="10966" width="65.109375" bestFit="1" customWidth="1"/>
    <col min="10967" max="10967" width="15.109375" customWidth="1"/>
    <col min="10968" max="10968" width="14.44140625" customWidth="1"/>
    <col min="10969" max="10971" width="17.109375" bestFit="1" customWidth="1"/>
    <col min="10972" max="10972" width="18.88671875" customWidth="1"/>
    <col min="10973" max="10973" width="19.44140625" customWidth="1"/>
    <col min="10974" max="10975" width="17.109375" bestFit="1" customWidth="1"/>
    <col min="10976" max="10976" width="11.44140625" customWidth="1"/>
    <col min="10977" max="10977" width="13.109375" customWidth="1"/>
    <col min="10978" max="10978" width="13" customWidth="1"/>
    <col min="10979" max="10979" width="13.109375" customWidth="1"/>
    <col min="10980" max="10980" width="11.44140625" customWidth="1"/>
    <col min="10981" max="10981" width="13.44140625" customWidth="1"/>
    <col min="10982" max="10982" width="12.44140625" customWidth="1"/>
    <col min="10983" max="10983" width="12.5546875" customWidth="1"/>
    <col min="11222" max="11222" width="65.109375" bestFit="1" customWidth="1"/>
    <col min="11223" max="11223" width="15.109375" customWidth="1"/>
    <col min="11224" max="11224" width="14.44140625" customWidth="1"/>
    <col min="11225" max="11227" width="17.109375" bestFit="1" customWidth="1"/>
    <col min="11228" max="11228" width="18.88671875" customWidth="1"/>
    <col min="11229" max="11229" width="19.44140625" customWidth="1"/>
    <col min="11230" max="11231" width="17.109375" bestFit="1" customWidth="1"/>
    <col min="11232" max="11232" width="11.44140625" customWidth="1"/>
    <col min="11233" max="11233" width="13.109375" customWidth="1"/>
    <col min="11234" max="11234" width="13" customWidth="1"/>
    <col min="11235" max="11235" width="13.109375" customWidth="1"/>
    <col min="11236" max="11236" width="11.44140625" customWidth="1"/>
    <col min="11237" max="11237" width="13.44140625" customWidth="1"/>
    <col min="11238" max="11238" width="12.44140625" customWidth="1"/>
    <col min="11239" max="11239" width="12.5546875" customWidth="1"/>
    <col min="11478" max="11478" width="65.109375" bestFit="1" customWidth="1"/>
    <col min="11479" max="11479" width="15.109375" customWidth="1"/>
    <col min="11480" max="11480" width="14.44140625" customWidth="1"/>
    <col min="11481" max="11483" width="17.109375" bestFit="1" customWidth="1"/>
    <col min="11484" max="11484" width="18.88671875" customWidth="1"/>
    <col min="11485" max="11485" width="19.44140625" customWidth="1"/>
    <col min="11486" max="11487" width="17.109375" bestFit="1" customWidth="1"/>
    <col min="11488" max="11488" width="11.44140625" customWidth="1"/>
    <col min="11489" max="11489" width="13.109375" customWidth="1"/>
    <col min="11490" max="11490" width="13" customWidth="1"/>
    <col min="11491" max="11491" width="13.109375" customWidth="1"/>
    <col min="11492" max="11492" width="11.44140625" customWidth="1"/>
    <col min="11493" max="11493" width="13.44140625" customWidth="1"/>
    <col min="11494" max="11494" width="12.44140625" customWidth="1"/>
    <col min="11495" max="11495" width="12.5546875" customWidth="1"/>
    <col min="11734" max="11734" width="65.109375" bestFit="1" customWidth="1"/>
    <col min="11735" max="11735" width="15.109375" customWidth="1"/>
    <col min="11736" max="11736" width="14.44140625" customWidth="1"/>
    <col min="11737" max="11739" width="17.109375" bestFit="1" customWidth="1"/>
    <col min="11740" max="11740" width="18.88671875" customWidth="1"/>
    <col min="11741" max="11741" width="19.44140625" customWidth="1"/>
    <col min="11742" max="11743" width="17.109375" bestFit="1" customWidth="1"/>
    <col min="11744" max="11744" width="11.44140625" customWidth="1"/>
    <col min="11745" max="11745" width="13.109375" customWidth="1"/>
    <col min="11746" max="11746" width="13" customWidth="1"/>
    <col min="11747" max="11747" width="13.109375" customWidth="1"/>
    <col min="11748" max="11748" width="11.44140625" customWidth="1"/>
    <col min="11749" max="11749" width="13.44140625" customWidth="1"/>
    <col min="11750" max="11750" width="12.44140625" customWidth="1"/>
    <col min="11751" max="11751" width="12.5546875" customWidth="1"/>
    <col min="11990" max="11990" width="65.109375" bestFit="1" customWidth="1"/>
    <col min="11991" max="11991" width="15.109375" customWidth="1"/>
    <col min="11992" max="11992" width="14.44140625" customWidth="1"/>
    <col min="11993" max="11995" width="17.109375" bestFit="1" customWidth="1"/>
    <col min="11996" max="11996" width="18.88671875" customWidth="1"/>
    <col min="11997" max="11997" width="19.44140625" customWidth="1"/>
    <col min="11998" max="11999" width="17.109375" bestFit="1" customWidth="1"/>
    <col min="12000" max="12000" width="11.44140625" customWidth="1"/>
    <col min="12001" max="12001" width="13.109375" customWidth="1"/>
    <col min="12002" max="12002" width="13" customWidth="1"/>
    <col min="12003" max="12003" width="13.109375" customWidth="1"/>
    <col min="12004" max="12004" width="11.44140625" customWidth="1"/>
    <col min="12005" max="12005" width="13.44140625" customWidth="1"/>
    <col min="12006" max="12006" width="12.44140625" customWidth="1"/>
    <col min="12007" max="12007" width="12.5546875" customWidth="1"/>
    <col min="12246" max="12246" width="65.109375" bestFit="1" customWidth="1"/>
    <col min="12247" max="12247" width="15.109375" customWidth="1"/>
    <col min="12248" max="12248" width="14.44140625" customWidth="1"/>
    <col min="12249" max="12251" width="17.109375" bestFit="1" customWidth="1"/>
    <col min="12252" max="12252" width="18.88671875" customWidth="1"/>
    <col min="12253" max="12253" width="19.44140625" customWidth="1"/>
    <col min="12254" max="12255" width="17.109375" bestFit="1" customWidth="1"/>
    <col min="12256" max="12256" width="11.44140625" customWidth="1"/>
    <col min="12257" max="12257" width="13.109375" customWidth="1"/>
    <col min="12258" max="12258" width="13" customWidth="1"/>
    <col min="12259" max="12259" width="13.109375" customWidth="1"/>
    <col min="12260" max="12260" width="11.44140625" customWidth="1"/>
    <col min="12261" max="12261" width="13.44140625" customWidth="1"/>
    <col min="12262" max="12262" width="12.44140625" customWidth="1"/>
    <col min="12263" max="12263" width="12.5546875" customWidth="1"/>
    <col min="12502" max="12502" width="65.109375" bestFit="1" customWidth="1"/>
    <col min="12503" max="12503" width="15.109375" customWidth="1"/>
    <col min="12504" max="12504" width="14.44140625" customWidth="1"/>
    <col min="12505" max="12507" width="17.109375" bestFit="1" customWidth="1"/>
    <col min="12508" max="12508" width="18.88671875" customWidth="1"/>
    <col min="12509" max="12509" width="19.44140625" customWidth="1"/>
    <col min="12510" max="12511" width="17.109375" bestFit="1" customWidth="1"/>
    <col min="12512" max="12512" width="11.44140625" customWidth="1"/>
    <col min="12513" max="12513" width="13.109375" customWidth="1"/>
    <col min="12514" max="12514" width="13" customWidth="1"/>
    <col min="12515" max="12515" width="13.109375" customWidth="1"/>
    <col min="12516" max="12516" width="11.44140625" customWidth="1"/>
    <col min="12517" max="12517" width="13.44140625" customWidth="1"/>
    <col min="12518" max="12518" width="12.44140625" customWidth="1"/>
    <col min="12519" max="12519" width="12.5546875" customWidth="1"/>
    <col min="12758" max="12758" width="65.109375" bestFit="1" customWidth="1"/>
    <col min="12759" max="12759" width="15.109375" customWidth="1"/>
    <col min="12760" max="12760" width="14.44140625" customWidth="1"/>
    <col min="12761" max="12763" width="17.109375" bestFit="1" customWidth="1"/>
    <col min="12764" max="12764" width="18.88671875" customWidth="1"/>
    <col min="12765" max="12765" width="19.44140625" customWidth="1"/>
    <col min="12766" max="12767" width="17.109375" bestFit="1" customWidth="1"/>
    <col min="12768" max="12768" width="11.44140625" customWidth="1"/>
    <col min="12769" max="12769" width="13.109375" customWidth="1"/>
    <col min="12770" max="12770" width="13" customWidth="1"/>
    <col min="12771" max="12771" width="13.109375" customWidth="1"/>
    <col min="12772" max="12772" width="11.44140625" customWidth="1"/>
    <col min="12773" max="12773" width="13.44140625" customWidth="1"/>
    <col min="12774" max="12774" width="12.44140625" customWidth="1"/>
    <col min="12775" max="12775" width="12.5546875" customWidth="1"/>
    <col min="13014" max="13014" width="65.109375" bestFit="1" customWidth="1"/>
    <col min="13015" max="13015" width="15.109375" customWidth="1"/>
    <col min="13016" max="13016" width="14.44140625" customWidth="1"/>
    <col min="13017" max="13019" width="17.109375" bestFit="1" customWidth="1"/>
    <col min="13020" max="13020" width="18.88671875" customWidth="1"/>
    <col min="13021" max="13021" width="19.44140625" customWidth="1"/>
    <col min="13022" max="13023" width="17.109375" bestFit="1" customWidth="1"/>
    <col min="13024" max="13024" width="11.44140625" customWidth="1"/>
    <col min="13025" max="13025" width="13.109375" customWidth="1"/>
    <col min="13026" max="13026" width="13" customWidth="1"/>
    <col min="13027" max="13027" width="13.109375" customWidth="1"/>
    <col min="13028" max="13028" width="11.44140625" customWidth="1"/>
    <col min="13029" max="13029" width="13.44140625" customWidth="1"/>
    <col min="13030" max="13030" width="12.44140625" customWidth="1"/>
    <col min="13031" max="13031" width="12.5546875" customWidth="1"/>
    <col min="13270" max="13270" width="65.109375" bestFit="1" customWidth="1"/>
    <col min="13271" max="13271" width="15.109375" customWidth="1"/>
    <col min="13272" max="13272" width="14.44140625" customWidth="1"/>
    <col min="13273" max="13275" width="17.109375" bestFit="1" customWidth="1"/>
    <col min="13276" max="13276" width="18.88671875" customWidth="1"/>
    <col min="13277" max="13277" width="19.44140625" customWidth="1"/>
    <col min="13278" max="13279" width="17.109375" bestFit="1" customWidth="1"/>
    <col min="13280" max="13280" width="11.44140625" customWidth="1"/>
    <col min="13281" max="13281" width="13.109375" customWidth="1"/>
    <col min="13282" max="13282" width="13" customWidth="1"/>
    <col min="13283" max="13283" width="13.109375" customWidth="1"/>
    <col min="13284" max="13284" width="11.44140625" customWidth="1"/>
    <col min="13285" max="13285" width="13.44140625" customWidth="1"/>
    <col min="13286" max="13286" width="12.44140625" customWidth="1"/>
    <col min="13287" max="13287" width="12.5546875" customWidth="1"/>
    <col min="13526" max="13526" width="65.109375" bestFit="1" customWidth="1"/>
    <col min="13527" max="13527" width="15.109375" customWidth="1"/>
    <col min="13528" max="13528" width="14.44140625" customWidth="1"/>
    <col min="13529" max="13531" width="17.109375" bestFit="1" customWidth="1"/>
    <col min="13532" max="13532" width="18.88671875" customWidth="1"/>
    <col min="13533" max="13533" width="19.44140625" customWidth="1"/>
    <col min="13534" max="13535" width="17.109375" bestFit="1" customWidth="1"/>
    <col min="13536" max="13536" width="11.44140625" customWidth="1"/>
    <col min="13537" max="13537" width="13.109375" customWidth="1"/>
    <col min="13538" max="13538" width="13" customWidth="1"/>
    <col min="13539" max="13539" width="13.109375" customWidth="1"/>
    <col min="13540" max="13540" width="11.44140625" customWidth="1"/>
    <col min="13541" max="13541" width="13.44140625" customWidth="1"/>
    <col min="13542" max="13542" width="12.44140625" customWidth="1"/>
    <col min="13543" max="13543" width="12.5546875" customWidth="1"/>
    <col min="13782" max="13782" width="65.109375" bestFit="1" customWidth="1"/>
    <col min="13783" max="13783" width="15.109375" customWidth="1"/>
    <col min="13784" max="13784" width="14.44140625" customWidth="1"/>
    <col min="13785" max="13787" width="17.109375" bestFit="1" customWidth="1"/>
    <col min="13788" max="13788" width="18.88671875" customWidth="1"/>
    <col min="13789" max="13789" width="19.44140625" customWidth="1"/>
    <col min="13790" max="13791" width="17.109375" bestFit="1" customWidth="1"/>
    <col min="13792" max="13792" width="11.44140625" customWidth="1"/>
    <col min="13793" max="13793" width="13.109375" customWidth="1"/>
    <col min="13794" max="13794" width="13" customWidth="1"/>
    <col min="13795" max="13795" width="13.109375" customWidth="1"/>
    <col min="13796" max="13796" width="11.44140625" customWidth="1"/>
    <col min="13797" max="13797" width="13.44140625" customWidth="1"/>
    <col min="13798" max="13798" width="12.44140625" customWidth="1"/>
    <col min="13799" max="13799" width="12.5546875" customWidth="1"/>
    <col min="14038" max="14038" width="65.109375" bestFit="1" customWidth="1"/>
    <col min="14039" max="14039" width="15.109375" customWidth="1"/>
    <col min="14040" max="14040" width="14.44140625" customWidth="1"/>
    <col min="14041" max="14043" width="17.109375" bestFit="1" customWidth="1"/>
    <col min="14044" max="14044" width="18.88671875" customWidth="1"/>
    <col min="14045" max="14045" width="19.44140625" customWidth="1"/>
    <col min="14046" max="14047" width="17.109375" bestFit="1" customWidth="1"/>
    <col min="14048" max="14048" width="11.44140625" customWidth="1"/>
    <col min="14049" max="14049" width="13.109375" customWidth="1"/>
    <col min="14050" max="14050" width="13" customWidth="1"/>
    <col min="14051" max="14051" width="13.109375" customWidth="1"/>
    <col min="14052" max="14052" width="11.44140625" customWidth="1"/>
    <col min="14053" max="14053" width="13.44140625" customWidth="1"/>
    <col min="14054" max="14054" width="12.44140625" customWidth="1"/>
    <col min="14055" max="14055" width="12.5546875" customWidth="1"/>
    <col min="14294" max="14294" width="65.109375" bestFit="1" customWidth="1"/>
    <col min="14295" max="14295" width="15.109375" customWidth="1"/>
    <col min="14296" max="14296" width="14.44140625" customWidth="1"/>
    <col min="14297" max="14299" width="17.109375" bestFit="1" customWidth="1"/>
    <col min="14300" max="14300" width="18.88671875" customWidth="1"/>
    <col min="14301" max="14301" width="19.44140625" customWidth="1"/>
    <col min="14302" max="14303" width="17.109375" bestFit="1" customWidth="1"/>
    <col min="14304" max="14304" width="11.44140625" customWidth="1"/>
    <col min="14305" max="14305" width="13.109375" customWidth="1"/>
    <col min="14306" max="14306" width="13" customWidth="1"/>
    <col min="14307" max="14307" width="13.109375" customWidth="1"/>
    <col min="14308" max="14308" width="11.44140625" customWidth="1"/>
    <col min="14309" max="14309" width="13.44140625" customWidth="1"/>
    <col min="14310" max="14310" width="12.44140625" customWidth="1"/>
    <col min="14311" max="14311" width="12.5546875" customWidth="1"/>
    <col min="14550" max="14550" width="65.109375" bestFit="1" customWidth="1"/>
    <col min="14551" max="14551" width="15.109375" customWidth="1"/>
    <col min="14552" max="14552" width="14.44140625" customWidth="1"/>
    <col min="14553" max="14555" width="17.109375" bestFit="1" customWidth="1"/>
    <col min="14556" max="14556" width="18.88671875" customWidth="1"/>
    <col min="14557" max="14557" width="19.44140625" customWidth="1"/>
    <col min="14558" max="14559" width="17.109375" bestFit="1" customWidth="1"/>
    <col min="14560" max="14560" width="11.44140625" customWidth="1"/>
    <col min="14561" max="14561" width="13.109375" customWidth="1"/>
    <col min="14562" max="14562" width="13" customWidth="1"/>
    <col min="14563" max="14563" width="13.109375" customWidth="1"/>
    <col min="14564" max="14564" width="11.44140625" customWidth="1"/>
    <col min="14565" max="14565" width="13.44140625" customWidth="1"/>
    <col min="14566" max="14566" width="12.44140625" customWidth="1"/>
    <col min="14567" max="14567" width="12.5546875" customWidth="1"/>
    <col min="14806" max="14806" width="65.109375" bestFit="1" customWidth="1"/>
    <col min="14807" max="14807" width="15.109375" customWidth="1"/>
    <col min="14808" max="14808" width="14.44140625" customWidth="1"/>
    <col min="14809" max="14811" width="17.109375" bestFit="1" customWidth="1"/>
    <col min="14812" max="14812" width="18.88671875" customWidth="1"/>
    <col min="14813" max="14813" width="19.44140625" customWidth="1"/>
    <col min="14814" max="14815" width="17.109375" bestFit="1" customWidth="1"/>
    <col min="14816" max="14816" width="11.44140625" customWidth="1"/>
    <col min="14817" max="14817" width="13.109375" customWidth="1"/>
    <col min="14818" max="14818" width="13" customWidth="1"/>
    <col min="14819" max="14819" width="13.109375" customWidth="1"/>
    <col min="14820" max="14820" width="11.44140625" customWidth="1"/>
    <col min="14821" max="14821" width="13.44140625" customWidth="1"/>
    <col min="14822" max="14822" width="12.44140625" customWidth="1"/>
    <col min="14823" max="14823" width="12.5546875" customWidth="1"/>
    <col min="15062" max="15062" width="65.109375" bestFit="1" customWidth="1"/>
    <col min="15063" max="15063" width="15.109375" customWidth="1"/>
    <col min="15064" max="15064" width="14.44140625" customWidth="1"/>
    <col min="15065" max="15067" width="17.109375" bestFit="1" customWidth="1"/>
    <col min="15068" max="15068" width="18.88671875" customWidth="1"/>
    <col min="15069" max="15069" width="19.44140625" customWidth="1"/>
    <col min="15070" max="15071" width="17.109375" bestFit="1" customWidth="1"/>
    <col min="15072" max="15072" width="11.44140625" customWidth="1"/>
    <col min="15073" max="15073" width="13.109375" customWidth="1"/>
    <col min="15074" max="15074" width="13" customWidth="1"/>
    <col min="15075" max="15075" width="13.109375" customWidth="1"/>
    <col min="15076" max="15076" width="11.44140625" customWidth="1"/>
    <col min="15077" max="15077" width="13.44140625" customWidth="1"/>
    <col min="15078" max="15078" width="12.44140625" customWidth="1"/>
    <col min="15079" max="15079" width="12.5546875" customWidth="1"/>
    <col min="15318" max="15318" width="65.109375" bestFit="1" customWidth="1"/>
    <col min="15319" max="15319" width="15.109375" customWidth="1"/>
    <col min="15320" max="15320" width="14.44140625" customWidth="1"/>
    <col min="15321" max="15323" width="17.109375" bestFit="1" customWidth="1"/>
    <col min="15324" max="15324" width="18.88671875" customWidth="1"/>
    <col min="15325" max="15325" width="19.44140625" customWidth="1"/>
    <col min="15326" max="15327" width="17.109375" bestFit="1" customWidth="1"/>
    <col min="15328" max="15328" width="11.44140625" customWidth="1"/>
    <col min="15329" max="15329" width="13.109375" customWidth="1"/>
    <col min="15330" max="15330" width="13" customWidth="1"/>
    <col min="15331" max="15331" width="13.109375" customWidth="1"/>
    <col min="15332" max="15332" width="11.44140625" customWidth="1"/>
    <col min="15333" max="15333" width="13.44140625" customWidth="1"/>
    <col min="15334" max="15334" width="12.44140625" customWidth="1"/>
    <col min="15335" max="15335" width="12.5546875" customWidth="1"/>
    <col min="15574" max="15574" width="65.109375" bestFit="1" customWidth="1"/>
    <col min="15575" max="15575" width="15.109375" customWidth="1"/>
    <col min="15576" max="15576" width="14.44140625" customWidth="1"/>
    <col min="15577" max="15579" width="17.109375" bestFit="1" customWidth="1"/>
    <col min="15580" max="15580" width="18.88671875" customWidth="1"/>
    <col min="15581" max="15581" width="19.44140625" customWidth="1"/>
    <col min="15582" max="15583" width="17.109375" bestFit="1" customWidth="1"/>
    <col min="15584" max="15584" width="11.44140625" customWidth="1"/>
    <col min="15585" max="15585" width="13.109375" customWidth="1"/>
    <col min="15586" max="15586" width="13" customWidth="1"/>
    <col min="15587" max="15587" width="13.109375" customWidth="1"/>
    <col min="15588" max="15588" width="11.44140625" customWidth="1"/>
    <col min="15589" max="15589" width="13.44140625" customWidth="1"/>
    <col min="15590" max="15590" width="12.44140625" customWidth="1"/>
    <col min="15591" max="15591" width="12.5546875" customWidth="1"/>
    <col min="15830" max="15830" width="65.109375" bestFit="1" customWidth="1"/>
    <col min="15831" max="15831" width="15.109375" customWidth="1"/>
    <col min="15832" max="15832" width="14.44140625" customWidth="1"/>
    <col min="15833" max="15835" width="17.109375" bestFit="1" customWidth="1"/>
    <col min="15836" max="15836" width="18.88671875" customWidth="1"/>
    <col min="15837" max="15837" width="19.44140625" customWidth="1"/>
    <col min="15838" max="15839" width="17.109375" bestFit="1" customWidth="1"/>
    <col min="15840" max="15840" width="11.44140625" customWidth="1"/>
    <col min="15841" max="15841" width="13.109375" customWidth="1"/>
    <col min="15842" max="15842" width="13" customWidth="1"/>
    <col min="15843" max="15843" width="13.109375" customWidth="1"/>
    <col min="15844" max="15844" width="11.44140625" customWidth="1"/>
    <col min="15845" max="15845" width="13.44140625" customWidth="1"/>
    <col min="15846" max="15846" width="12.44140625" customWidth="1"/>
    <col min="15847" max="15847" width="12.5546875" customWidth="1"/>
    <col min="16086" max="16086" width="65.109375" bestFit="1" customWidth="1"/>
    <col min="16087" max="16087" width="15.109375" customWidth="1"/>
    <col min="16088" max="16088" width="14.44140625" customWidth="1"/>
    <col min="16089" max="16091" width="17.109375" bestFit="1" customWidth="1"/>
    <col min="16092" max="16092" width="18.88671875" customWidth="1"/>
    <col min="16093" max="16093" width="19.44140625" customWidth="1"/>
    <col min="16094" max="16095" width="17.109375" bestFit="1" customWidth="1"/>
    <col min="16096" max="16096" width="11.44140625" customWidth="1"/>
    <col min="16097" max="16097" width="13.109375" customWidth="1"/>
    <col min="16098" max="16098" width="13" customWidth="1"/>
    <col min="16099" max="16099" width="13.109375" customWidth="1"/>
    <col min="16100" max="16100" width="11.44140625" customWidth="1"/>
    <col min="16101" max="16101" width="13.44140625" customWidth="1"/>
    <col min="16102" max="16102" width="12.44140625" customWidth="1"/>
    <col min="16103" max="16103" width="12.5546875" customWidth="1"/>
  </cols>
  <sheetData>
    <row r="1" spans="1:26" x14ac:dyDescent="0.3">
      <c r="A1" s="8" t="s">
        <v>0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3">
      <c r="A2" s="27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x14ac:dyDescent="0.3">
      <c r="A3" s="9" t="s">
        <v>11</v>
      </c>
      <c r="B3" s="21">
        <f>Sales_Actual!B3</f>
        <v>183.8424</v>
      </c>
      <c r="C3" s="21">
        <f>Sales_Actual!C3</f>
        <v>503.4</v>
      </c>
      <c r="D3" s="21">
        <f>Sales_Actual!D3</f>
        <v>729.45</v>
      </c>
      <c r="E3" s="21">
        <f>Sales_Actual!E3</f>
        <v>673.54319999999996</v>
      </c>
      <c r="F3" s="21">
        <f>Sales_Actual!F3</f>
        <v>311.33920000000001</v>
      </c>
      <c r="G3" s="21">
        <f>Sales_Actual!G3</f>
        <v>860.1880000000001</v>
      </c>
      <c r="H3" s="21">
        <f>Sales_Actual!H3</f>
        <v>949.59199999999998</v>
      </c>
      <c r="I3" s="21">
        <f>Sales_Actual!I3</f>
        <v>681.23739999999998</v>
      </c>
      <c r="J3" s="21">
        <f>Sales_Actual!J3</f>
        <v>296.10084000000001</v>
      </c>
      <c r="K3" s="21">
        <f>Sales_Actual!K3</f>
        <v>796.38379999999995</v>
      </c>
      <c r="L3" s="21">
        <f>Sales_Actual!L3</f>
        <v>946.65071999999998</v>
      </c>
      <c r="M3" s="21">
        <f>Sales_Actual!M3</f>
        <v>763.44319999999993</v>
      </c>
      <c r="N3" s="21">
        <f>Sales_Actual!N3</f>
        <v>763.44319999999993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51">
        <v>0</v>
      </c>
      <c r="Z3" s="51">
        <v>0</v>
      </c>
    </row>
    <row r="4" spans="1:26" x14ac:dyDescent="0.3">
      <c r="A4" s="9" t="s">
        <v>15</v>
      </c>
      <c r="B4" s="20">
        <v>50.329279765562596</v>
      </c>
      <c r="C4" s="20">
        <v>44.288741845682715</v>
      </c>
      <c r="D4" s="20">
        <v>42.89158109243067</v>
      </c>
      <c r="E4" s="20">
        <v>41.604516052471268</v>
      </c>
      <c r="F4" s="20">
        <v>45.695637164250336</v>
      </c>
      <c r="G4" s="20">
        <v>51.456934277489715</v>
      </c>
      <c r="H4" s="20">
        <v>40.180652304560191</v>
      </c>
      <c r="I4" s="20">
        <v>45.493920630569605</v>
      </c>
      <c r="J4" s="20">
        <v>43.386302700681092</v>
      </c>
      <c r="K4" s="20">
        <v>49.150415383036702</v>
      </c>
      <c r="L4" s="20">
        <v>56.00259652295675</v>
      </c>
      <c r="M4" s="20">
        <v>51.026514944054213</v>
      </c>
      <c r="N4" s="20">
        <v>47.373708624845804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52">
        <v>0</v>
      </c>
      <c r="Z4" s="52">
        <v>0</v>
      </c>
    </row>
    <row r="5" spans="1:26" x14ac:dyDescent="0.3">
      <c r="A5" s="9" t="s">
        <v>16</v>
      </c>
      <c r="B5" s="21">
        <f>B3*B4</f>
        <v>9252.6555823724648</v>
      </c>
      <c r="C5" s="21">
        <f t="shared" ref="C5:N5" si="0">C3*C4</f>
        <v>22294.952645116678</v>
      </c>
      <c r="D5" s="21">
        <f t="shared" si="0"/>
        <v>31287.263827873554</v>
      </c>
      <c r="E5" s="21">
        <f t="shared" si="0"/>
        <v>28022.438876432865</v>
      </c>
      <c r="F5" s="21">
        <f t="shared" si="0"/>
        <v>14226.843118207968</v>
      </c>
      <c r="G5" s="21">
        <f t="shared" si="0"/>
        <v>44262.637382285327</v>
      </c>
      <c r="H5" s="21">
        <f t="shared" si="0"/>
        <v>38155.225983191922</v>
      </c>
      <c r="I5" s="21">
        <f t="shared" si="0"/>
        <v>30992.160206175598</v>
      </c>
      <c r="J5" s="21">
        <f t="shared" si="0"/>
        <v>12846.720674165941</v>
      </c>
      <c r="K5" s="21">
        <f t="shared" si="0"/>
        <v>39142.594574321221</v>
      </c>
      <c r="L5" s="21">
        <f t="shared" si="0"/>
        <v>53014.898320326502</v>
      </c>
      <c r="M5" s="21">
        <f t="shared" si="0"/>
        <v>38955.845853736566</v>
      </c>
      <c r="N5" s="21">
        <f t="shared" si="0"/>
        <v>36167.135708419875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50">
        <v>0</v>
      </c>
      <c r="Z5" s="50">
        <v>0</v>
      </c>
    </row>
    <row r="6" spans="1:26" x14ac:dyDescent="0.3">
      <c r="A6" s="27" t="s">
        <v>3</v>
      </c>
      <c r="B6" s="33"/>
      <c r="C6" s="33"/>
      <c r="D6" s="33"/>
      <c r="E6" s="33"/>
      <c r="F6" s="77"/>
      <c r="G6" s="77"/>
      <c r="H6" s="77"/>
      <c r="I6" s="77"/>
      <c r="J6" s="77"/>
      <c r="K6" s="77"/>
      <c r="L6" s="77"/>
      <c r="M6" s="77"/>
      <c r="N6" s="77"/>
      <c r="O6" s="32"/>
      <c r="P6" s="32"/>
      <c r="Q6" s="32"/>
      <c r="R6" s="32"/>
      <c r="S6" s="32"/>
      <c r="T6" s="32"/>
      <c r="U6" s="32"/>
      <c r="V6" s="32"/>
      <c r="W6" s="32"/>
      <c r="X6" s="32"/>
      <c r="Y6" s="54"/>
      <c r="Z6" s="54"/>
    </row>
    <row r="7" spans="1:26" x14ac:dyDescent="0.3">
      <c r="A7" s="9" t="s">
        <v>11</v>
      </c>
      <c r="B7" s="21">
        <f>Sales_Actual!B7</f>
        <v>36.803199999999997</v>
      </c>
      <c r="C7" s="21">
        <f>Sales_Actual!C7</f>
        <v>195.12268</v>
      </c>
      <c r="D7" s="21">
        <f>Sales_Actual!D7</f>
        <v>243.72448</v>
      </c>
      <c r="E7" s="21">
        <f>Sales_Actual!E7</f>
        <v>145.018</v>
      </c>
      <c r="F7" s="21">
        <f>Sales_Actual!F7</f>
        <v>60.945999999999998</v>
      </c>
      <c r="G7" s="21">
        <f>Sales_Actual!G7</f>
        <v>122.01600000000001</v>
      </c>
      <c r="H7" s="21">
        <f>Sales_Actual!H7</f>
        <v>199.76399999999998</v>
      </c>
      <c r="I7" s="21">
        <f>Sales_Actual!I7</f>
        <v>107.13600000000001</v>
      </c>
      <c r="J7" s="21">
        <f>Sales_Actual!J7</f>
        <v>88.847239999999999</v>
      </c>
      <c r="K7" s="21">
        <f>Sales_Actual!K7</f>
        <v>175.64475999999999</v>
      </c>
      <c r="L7" s="21">
        <f>Sales_Actual!L7</f>
        <v>200.21163999999999</v>
      </c>
      <c r="M7" s="21">
        <f>Sales_Actual!M7</f>
        <v>105.87740000000001</v>
      </c>
      <c r="N7" s="21">
        <f>Sales_Actual!N7</f>
        <v>105.87740000000001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50">
        <v>0</v>
      </c>
      <c r="Z7" s="50">
        <v>0</v>
      </c>
    </row>
    <row r="8" spans="1:26" x14ac:dyDescent="0.3">
      <c r="A8" s="9" t="s">
        <v>15</v>
      </c>
      <c r="B8" s="20">
        <v>152.94879294044594</v>
      </c>
      <c r="C8" s="20">
        <v>171.91030160339889</v>
      </c>
      <c r="D8" s="20">
        <v>172.45</v>
      </c>
      <c r="E8" s="20">
        <v>176.48</v>
      </c>
      <c r="F8" s="20">
        <v>176.9</v>
      </c>
      <c r="G8" s="81">
        <v>178</v>
      </c>
      <c r="H8" s="81">
        <v>179.3</v>
      </c>
      <c r="I8" s="81">
        <v>183.6</v>
      </c>
      <c r="J8" s="81">
        <v>185.4</v>
      </c>
      <c r="K8" s="81">
        <v>184.5</v>
      </c>
      <c r="L8" s="81">
        <v>186.4</v>
      </c>
      <c r="M8" s="81">
        <v>187.1</v>
      </c>
      <c r="N8" s="50">
        <v>189.2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51">
        <v>0</v>
      </c>
      <c r="Z8" s="51">
        <v>0</v>
      </c>
    </row>
    <row r="9" spans="1:26" x14ac:dyDescent="0.3">
      <c r="A9" s="9" t="s">
        <v>16</v>
      </c>
      <c r="B9" s="24">
        <f>B7*B8</f>
        <v>5629.00501634582</v>
      </c>
      <c r="C9" s="24">
        <f t="shared" ref="C9:N9" si="1">C7*C8</f>
        <v>33543.598768463489</v>
      </c>
      <c r="D9" s="24">
        <f t="shared" si="1"/>
        <v>42030.286575999999</v>
      </c>
      <c r="E9" s="24">
        <f t="shared" si="1"/>
        <v>25592.77664</v>
      </c>
      <c r="F9" s="24">
        <f t="shared" si="1"/>
        <v>10781.347400000001</v>
      </c>
      <c r="G9" s="24">
        <f t="shared" si="1"/>
        <v>21718.848000000002</v>
      </c>
      <c r="H9" s="24">
        <f t="shared" si="1"/>
        <v>35817.6852</v>
      </c>
      <c r="I9" s="24">
        <f t="shared" si="1"/>
        <v>19670.169600000001</v>
      </c>
      <c r="J9" s="24">
        <f t="shared" si="1"/>
        <v>16472.278296</v>
      </c>
      <c r="K9" s="24">
        <f t="shared" si="1"/>
        <v>32406.458219999997</v>
      </c>
      <c r="L9" s="24">
        <f t="shared" si="1"/>
        <v>37319.449695999996</v>
      </c>
      <c r="M9" s="24">
        <f t="shared" si="1"/>
        <v>19809.661540000001</v>
      </c>
      <c r="N9" s="24">
        <f t="shared" si="1"/>
        <v>20032.004079999999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50">
        <v>0</v>
      </c>
      <c r="Z9" s="50">
        <v>0</v>
      </c>
    </row>
    <row r="10" spans="1:26" x14ac:dyDescent="0.3">
      <c r="A10" s="27" t="s">
        <v>4</v>
      </c>
      <c r="B10" s="33"/>
      <c r="C10" s="33"/>
      <c r="D10" s="33"/>
      <c r="E10" s="33"/>
      <c r="F10" s="77"/>
      <c r="G10" s="77"/>
      <c r="H10" s="77"/>
      <c r="I10" s="77"/>
      <c r="J10" s="77"/>
      <c r="K10" s="77"/>
      <c r="L10" s="77"/>
      <c r="M10" s="77"/>
      <c r="N10" s="77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54"/>
      <c r="Z10" s="54"/>
    </row>
    <row r="11" spans="1:26" x14ac:dyDescent="0.3">
      <c r="A11" s="9" t="s">
        <v>11</v>
      </c>
      <c r="B11" s="21">
        <f>Sales_Actual!B11</f>
        <v>6174.1336000000001</v>
      </c>
      <c r="C11" s="21">
        <f>Sales_Actual!C11</f>
        <v>9363.6764800000001</v>
      </c>
      <c r="D11" s="21">
        <f>Sales_Actual!D11</f>
        <v>11737.269600000001</v>
      </c>
      <c r="E11" s="21">
        <f>Sales_Actual!E11</f>
        <v>9610.2232000000004</v>
      </c>
      <c r="F11" s="21">
        <f>Sales_Actual!F11</f>
        <v>13343.795</v>
      </c>
      <c r="G11" s="21">
        <f>Sales_Actual!G11</f>
        <v>9992.9194399999997</v>
      </c>
      <c r="H11" s="21">
        <f>Sales_Actual!H11</f>
        <v>8709.4177599999985</v>
      </c>
      <c r="I11" s="21">
        <f>Sales_Actual!I11</f>
        <v>9558.6578000000009</v>
      </c>
      <c r="J11" s="21">
        <f>Sales_Actual!J11</f>
        <v>6465.1801999999998</v>
      </c>
      <c r="K11" s="21">
        <f>Sales_Actual!K11</f>
        <v>9626.11132</v>
      </c>
      <c r="L11" s="21">
        <f>Sales_Actual!L11</f>
        <v>11881.177799999998</v>
      </c>
      <c r="M11" s="21">
        <f>Sales_Actual!M11</f>
        <v>7827.8087599999999</v>
      </c>
      <c r="N11" s="21">
        <f>Sales_Actual!N11</f>
        <v>7827.8087599999999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50">
        <v>0</v>
      </c>
      <c r="Z11" s="50">
        <v>0</v>
      </c>
    </row>
    <row r="12" spans="1:26" x14ac:dyDescent="0.3">
      <c r="A12" s="9" t="s">
        <v>15</v>
      </c>
      <c r="B12" s="21">
        <v>9.3977344957153566</v>
      </c>
      <c r="C12" s="21">
        <v>10.421057788600171</v>
      </c>
      <c r="D12" s="21">
        <v>9.9644114234964878</v>
      </c>
      <c r="E12" s="21">
        <v>8.7311276768505479</v>
      </c>
      <c r="F12" s="21">
        <v>7.5983854682479333</v>
      </c>
      <c r="G12" s="35">
        <v>10.132212410908981</v>
      </c>
      <c r="H12" s="35">
        <v>13.059820164908237</v>
      </c>
      <c r="I12" s="35">
        <v>11.959832372566195</v>
      </c>
      <c r="J12" s="51">
        <v>10.366705605885379</v>
      </c>
      <c r="K12" s="52">
        <v>9.7027914939112705</v>
      </c>
      <c r="L12" s="50">
        <v>12.779155281989818</v>
      </c>
      <c r="M12" s="50">
        <v>13.345909527589095</v>
      </c>
      <c r="N12" s="50">
        <v>9.9607177602997172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52">
        <v>0</v>
      </c>
      <c r="Z12" s="52">
        <v>0</v>
      </c>
    </row>
    <row r="13" spans="1:26" x14ac:dyDescent="0.3">
      <c r="A13" s="9" t="s">
        <v>16</v>
      </c>
      <c r="B13" s="23">
        <f>B11*B12</f>
        <v>58022.868313875239</v>
      </c>
      <c r="C13" s="23">
        <f t="shared" ref="C13:N13" si="2">C11*C12</f>
        <v>97579.413711836241</v>
      </c>
      <c r="D13" s="23">
        <f t="shared" si="2"/>
        <v>116954.98328289807</v>
      </c>
      <c r="E13" s="23">
        <f t="shared" si="2"/>
        <v>83908.085762231247</v>
      </c>
      <c r="F13" s="23">
        <f t="shared" si="2"/>
        <v>101391.29801927943</v>
      </c>
      <c r="G13" s="23">
        <f t="shared" si="2"/>
        <v>101250.38237118162</v>
      </c>
      <c r="H13" s="23">
        <f t="shared" si="2"/>
        <v>113743.42968665791</v>
      </c>
      <c r="I13" s="23">
        <f t="shared" si="2"/>
        <v>114319.94499472238</v>
      </c>
      <c r="J13" s="23">
        <f t="shared" si="2"/>
        <v>67022.619822399152</v>
      </c>
      <c r="K13" s="23">
        <f t="shared" si="2"/>
        <v>93400.151035138988</v>
      </c>
      <c r="L13" s="23">
        <f t="shared" si="2"/>
        <v>151831.41603913013</v>
      </c>
      <c r="M13" s="23">
        <f t="shared" si="2"/>
        <v>104469.22751022938</v>
      </c>
      <c r="N13" s="23">
        <f t="shared" si="2"/>
        <v>77970.593739961711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50">
        <v>0</v>
      </c>
      <c r="Z13" s="50">
        <v>0</v>
      </c>
    </row>
    <row r="14" spans="1:26" x14ac:dyDescent="0.3">
      <c r="A14" s="27" t="s">
        <v>5</v>
      </c>
      <c r="B14" s="78"/>
      <c r="C14" s="78"/>
      <c r="D14" s="78"/>
      <c r="E14" s="78"/>
      <c r="F14" s="78"/>
      <c r="G14" s="79"/>
      <c r="H14" s="77"/>
      <c r="I14" s="77"/>
      <c r="J14" s="77"/>
      <c r="K14" s="77"/>
      <c r="L14" s="77"/>
      <c r="M14" s="77"/>
      <c r="N14" s="7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54"/>
      <c r="Z14" s="54"/>
    </row>
    <row r="15" spans="1:26" x14ac:dyDescent="0.3">
      <c r="A15" s="9" t="s">
        <v>11</v>
      </c>
      <c r="B15" s="21">
        <f>Sales_Actual!B15</f>
        <v>0</v>
      </c>
      <c r="C15" s="21">
        <f>Sales_Actual!C15</f>
        <v>0</v>
      </c>
      <c r="D15" s="21">
        <f>Sales_Actual!D15</f>
        <v>0</v>
      </c>
      <c r="E15" s="21">
        <f>Sales_Actual!E15</f>
        <v>0</v>
      </c>
      <c r="F15" s="21">
        <f>Sales_Actual!F15</f>
        <v>0</v>
      </c>
      <c r="G15" s="21">
        <f>Sales_Actual!G15</f>
        <v>0</v>
      </c>
      <c r="H15" s="21">
        <f>Sales_Actual!H15</f>
        <v>231.88</v>
      </c>
      <c r="I15" s="21">
        <f>Sales_Actual!I15</f>
        <v>107.88</v>
      </c>
      <c r="J15" s="21">
        <f>Sales_Actual!J15</f>
        <v>149.56631999999999</v>
      </c>
      <c r="K15" s="21">
        <f>Sales_Actual!K15</f>
        <v>1039.48828</v>
      </c>
      <c r="L15" s="21">
        <f>Sales_Actual!L15</f>
        <v>508.64799999999997</v>
      </c>
      <c r="M15" s="21">
        <f>Sales_Actual!M15</f>
        <v>136.59344000000002</v>
      </c>
      <c r="N15" s="21">
        <f>Sales_Actual!N15</f>
        <v>136.59344000000002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50">
        <v>0</v>
      </c>
      <c r="Z15" s="50">
        <v>0</v>
      </c>
    </row>
    <row r="16" spans="1:26" x14ac:dyDescent="0.3">
      <c r="A16" s="9" t="s">
        <v>15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44">
        <v>7.1430501824687553</v>
      </c>
      <c r="I16" s="50">
        <v>5.4279958717518078</v>
      </c>
      <c r="J16" s="50">
        <v>9.3963678160919546</v>
      </c>
      <c r="K16" s="44">
        <v>6.6448832745279596</v>
      </c>
      <c r="L16" s="50">
        <v>10.31350702674589</v>
      </c>
      <c r="M16" s="50">
        <v>10.6045831301804</v>
      </c>
      <c r="N16" s="50">
        <v>10.376230272840637</v>
      </c>
      <c r="O16" s="37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50">
        <v>0</v>
      </c>
      <c r="Z16" s="50">
        <v>0</v>
      </c>
    </row>
    <row r="17" spans="1:26" x14ac:dyDescent="0.3">
      <c r="A17" s="9" t="s">
        <v>16</v>
      </c>
      <c r="B17" s="23">
        <f>B15*B16</f>
        <v>0</v>
      </c>
      <c r="C17" s="23">
        <f t="shared" ref="C17:N17" si="3">C15*C16</f>
        <v>0</v>
      </c>
      <c r="D17" s="23">
        <f t="shared" si="3"/>
        <v>0</v>
      </c>
      <c r="E17" s="23">
        <f t="shared" si="3"/>
        <v>0</v>
      </c>
      <c r="F17" s="23">
        <f t="shared" si="3"/>
        <v>0</v>
      </c>
      <c r="G17" s="23">
        <f t="shared" si="3"/>
        <v>0</v>
      </c>
      <c r="H17" s="23">
        <f t="shared" si="3"/>
        <v>1656.3304763108549</v>
      </c>
      <c r="I17" s="23">
        <f t="shared" si="3"/>
        <v>585.57219464458501</v>
      </c>
      <c r="J17" s="23">
        <f t="shared" si="3"/>
        <v>1405.3801556193102</v>
      </c>
      <c r="K17" s="23">
        <f t="shared" si="3"/>
        <v>6907.2782858398368</v>
      </c>
      <c r="L17" s="23">
        <f t="shared" si="3"/>
        <v>5245.9447221402434</v>
      </c>
      <c r="M17" s="23">
        <f t="shared" si="3"/>
        <v>1448.5164895173089</v>
      </c>
      <c r="N17" s="23">
        <f t="shared" si="3"/>
        <v>1417.3249871994412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50">
        <v>0</v>
      </c>
      <c r="Z17" s="50">
        <v>0</v>
      </c>
    </row>
    <row r="18" spans="1:26" x14ac:dyDescent="0.3">
      <c r="A18" s="27" t="s">
        <v>6</v>
      </c>
      <c r="B18" s="78"/>
      <c r="C18" s="78"/>
      <c r="D18" s="78"/>
      <c r="E18" s="78"/>
      <c r="F18" s="78"/>
      <c r="G18" s="79"/>
      <c r="H18" s="77"/>
      <c r="I18" s="77"/>
      <c r="J18" s="77"/>
      <c r="K18" s="77"/>
      <c r="L18" s="77"/>
      <c r="M18" s="77"/>
      <c r="N18" s="77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54"/>
      <c r="Z18" s="54"/>
    </row>
    <row r="19" spans="1:26" x14ac:dyDescent="0.3">
      <c r="A19" s="9" t="s">
        <v>14</v>
      </c>
      <c r="B19" s="21">
        <f>Sales_Actual!B19</f>
        <v>206.19091999999998</v>
      </c>
      <c r="C19" s="21">
        <f>Sales_Actual!C19</f>
        <v>151.85411999999999</v>
      </c>
      <c r="D19" s="21">
        <f>Sales_Actual!D19</f>
        <v>172.01528000000002</v>
      </c>
      <c r="E19" s="21">
        <f>Sales_Actual!E19</f>
        <v>258.8252</v>
      </c>
      <c r="F19" s="21">
        <f>Sales_Actual!F19</f>
        <v>268.88159999999999</v>
      </c>
      <c r="G19" s="21">
        <f>Sales_Actual!G19</f>
        <v>262.75600000000003</v>
      </c>
      <c r="H19" s="21">
        <f>Sales_Actual!H19</f>
        <v>144.83199999999999</v>
      </c>
      <c r="I19" s="21">
        <f>Sales_Actual!I19</f>
        <v>229.77200000000002</v>
      </c>
      <c r="J19" s="21">
        <f>Sales_Actual!J19</f>
        <v>142.72399999999999</v>
      </c>
      <c r="K19" s="21">
        <f>Sales_Actual!K19</f>
        <v>174.19048800000002</v>
      </c>
      <c r="L19" s="21">
        <f>Sales_Actual!L19</f>
        <v>154.32916</v>
      </c>
      <c r="M19" s="21">
        <f>Sales_Actual!M19</f>
        <v>71.433920000000001</v>
      </c>
      <c r="N19" s="21">
        <f>Sales_Actual!N19</f>
        <v>71.433920000000001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50">
        <v>0</v>
      </c>
      <c r="Z19" s="50">
        <v>0</v>
      </c>
    </row>
    <row r="20" spans="1:26" x14ac:dyDescent="0.3">
      <c r="A20" s="9" t="s">
        <v>15</v>
      </c>
      <c r="B20" s="20">
        <v>56.983496678203849</v>
      </c>
      <c r="C20" s="20">
        <v>44.023164833653176</v>
      </c>
      <c r="D20" s="20">
        <v>48.188522835832849</v>
      </c>
      <c r="E20" s="20">
        <v>44.671983859219182</v>
      </c>
      <c r="F20" s="20">
        <v>33.455816545622504</v>
      </c>
      <c r="G20" s="20">
        <v>45.014250092025357</v>
      </c>
      <c r="H20" s="20">
        <v>47.081086125831497</v>
      </c>
      <c r="I20" s="20">
        <v>51.827035021807376</v>
      </c>
      <c r="J20" s="20">
        <v>44.734235502383136</v>
      </c>
      <c r="K20" s="20">
        <v>45.924546572954476</v>
      </c>
      <c r="L20" s="20">
        <v>46.881647146394982</v>
      </c>
      <c r="M20" s="20">
        <v>46.835872981565117</v>
      </c>
      <c r="N20" s="20">
        <v>42.303382331674392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51">
        <v>0</v>
      </c>
      <c r="Z20" s="51">
        <v>0</v>
      </c>
    </row>
    <row r="21" spans="1:26" x14ac:dyDescent="0.3">
      <c r="A21" s="9" t="s">
        <v>16</v>
      </c>
      <c r="B21" s="23">
        <f>B19*B20</f>
        <v>11749.479604895794</v>
      </c>
      <c r="C21" s="23">
        <f t="shared" ref="C21:N21" si="4">C19*C20</f>
        <v>6685.0989554293492</v>
      </c>
      <c r="D21" s="23">
        <f t="shared" si="4"/>
        <v>8289.1622483921819</v>
      </c>
      <c r="E21" s="23">
        <f t="shared" si="4"/>
        <v>11562.235156759176</v>
      </c>
      <c r="F21" s="23">
        <f t="shared" si="4"/>
        <v>8995.6534820934521</v>
      </c>
      <c r="G21" s="23">
        <f t="shared" si="4"/>
        <v>11827.764297180216</v>
      </c>
      <c r="H21" s="23">
        <f t="shared" si="4"/>
        <v>6818.8478657764272</v>
      </c>
      <c r="I21" s="23">
        <f t="shared" si="4"/>
        <v>11908.401491030725</v>
      </c>
      <c r="J21" s="23">
        <f t="shared" si="4"/>
        <v>6384.6490278421306</v>
      </c>
      <c r="K21" s="23">
        <f t="shared" si="4"/>
        <v>7999.6191787216685</v>
      </c>
      <c r="L21" s="23">
        <f t="shared" si="4"/>
        <v>7235.2052235195351</v>
      </c>
      <c r="M21" s="23">
        <f t="shared" si="4"/>
        <v>3345.6700036952839</v>
      </c>
      <c r="N21" s="23">
        <f t="shared" si="4"/>
        <v>3021.8964292102419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50">
        <v>0</v>
      </c>
      <c r="Z21" s="50">
        <v>0</v>
      </c>
    </row>
    <row r="22" spans="1:26" x14ac:dyDescent="0.3">
      <c r="A22" s="27" t="s">
        <v>7</v>
      </c>
      <c r="B22" s="78"/>
      <c r="C22" s="78"/>
      <c r="D22" s="78"/>
      <c r="E22" s="78"/>
      <c r="F22" s="78"/>
      <c r="G22" s="79"/>
      <c r="H22" s="77"/>
      <c r="I22" s="77"/>
      <c r="J22" s="77"/>
      <c r="K22" s="77"/>
      <c r="L22" s="77"/>
      <c r="M22" s="77"/>
      <c r="N22" s="77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54"/>
      <c r="Z22" s="54"/>
    </row>
    <row r="23" spans="1:26" x14ac:dyDescent="0.3">
      <c r="A23" s="9" t="s">
        <v>14</v>
      </c>
      <c r="B23" s="24">
        <f>Sales_Actual!B23</f>
        <v>134.99880000000002</v>
      </c>
      <c r="C23" s="24">
        <f>Sales_Actual!C23</f>
        <v>184.84432000000001</v>
      </c>
      <c r="D23" s="24">
        <f>Sales_Actual!D23</f>
        <v>256.45060000000001</v>
      </c>
      <c r="E23" s="24">
        <f>Sales_Actual!E23</f>
        <v>229.15200000000002</v>
      </c>
      <c r="F23" s="24">
        <f>Sales_Actual!F23</f>
        <v>276.75560000000002</v>
      </c>
      <c r="G23" s="24">
        <f>Sales_Actual!G23</f>
        <v>196.61439999999999</v>
      </c>
      <c r="H23" s="24">
        <f>Sales_Actual!H23</f>
        <v>244.77600000000001</v>
      </c>
      <c r="I23" s="24">
        <f>Sales_Actual!I23</f>
        <v>140.36799999999999</v>
      </c>
      <c r="J23" s="24">
        <f>Sales_Actual!J23</f>
        <v>160.33200000000002</v>
      </c>
      <c r="K23" s="24">
        <f>Sales_Actual!K23</f>
        <v>209.11359999999999</v>
      </c>
      <c r="L23" s="24">
        <f>Sales_Actual!L23</f>
        <v>79.731999999999999</v>
      </c>
      <c r="M23" s="24">
        <f>Sales_Actual!M23</f>
        <v>136.648</v>
      </c>
      <c r="N23" s="24">
        <f>Sales_Actual!N23</f>
        <v>136.648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50">
        <v>0</v>
      </c>
      <c r="Z23" s="50">
        <v>0</v>
      </c>
    </row>
    <row r="24" spans="1:26" x14ac:dyDescent="0.3">
      <c r="A24" s="9" t="s">
        <v>15</v>
      </c>
      <c r="B24" s="24">
        <v>24.114688296554313</v>
      </c>
      <c r="C24" s="24">
        <v>25.439822693869278</v>
      </c>
      <c r="D24" s="24">
        <v>26.234315460535985</v>
      </c>
      <c r="E24" s="24">
        <v>26.88215773607708</v>
      </c>
      <c r="F24" s="24">
        <v>18.885686167392716</v>
      </c>
      <c r="G24" s="24">
        <v>25.874455887539266</v>
      </c>
      <c r="H24" s="24">
        <v>27.785582861259016</v>
      </c>
      <c r="I24" s="24">
        <v>25.413153793855294</v>
      </c>
      <c r="J24" s="24">
        <v>24.803735073839103</v>
      </c>
      <c r="K24" s="24">
        <v>24.8967170825007</v>
      </c>
      <c r="L24" s="24">
        <v>24.114738222196767</v>
      </c>
      <c r="M24" s="24">
        <v>27.610785927695083</v>
      </c>
      <c r="N24" s="24">
        <v>29.179827173248658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51">
        <v>0</v>
      </c>
      <c r="Z24" s="51">
        <v>0</v>
      </c>
    </row>
    <row r="25" spans="1:26" x14ac:dyDescent="0.3">
      <c r="A25" s="9" t="s">
        <v>16</v>
      </c>
      <c r="B25" s="24">
        <f>B23*B24</f>
        <v>3255.453982408877</v>
      </c>
      <c r="C25" s="24">
        <f t="shared" ref="C25:N25" si="5">C23*C24</f>
        <v>4702.4067267688351</v>
      </c>
      <c r="D25" s="24">
        <f t="shared" si="5"/>
        <v>6727.8059404437299</v>
      </c>
      <c r="E25" s="24">
        <f t="shared" si="5"/>
        <v>6160.1002095375352</v>
      </c>
      <c r="F25" s="24">
        <f t="shared" si="5"/>
        <v>5226.7194066684715</v>
      </c>
      <c r="G25" s="24">
        <f t="shared" si="5"/>
        <v>5087.2906196550002</v>
      </c>
      <c r="H25" s="24">
        <f t="shared" si="5"/>
        <v>6801.2438304475372</v>
      </c>
      <c r="I25" s="24">
        <f t="shared" si="5"/>
        <v>3567.1935717358797</v>
      </c>
      <c r="J25" s="24">
        <f t="shared" si="5"/>
        <v>3976.8324518587715</v>
      </c>
      <c r="K25" s="24">
        <f t="shared" si="5"/>
        <v>5206.2421373032184</v>
      </c>
      <c r="L25" s="24">
        <f t="shared" si="5"/>
        <v>1922.7163079321926</v>
      </c>
      <c r="M25" s="24">
        <f t="shared" si="5"/>
        <v>3772.9586754476777</v>
      </c>
      <c r="N25" s="24">
        <f t="shared" si="5"/>
        <v>3987.3650235700825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50">
        <v>0</v>
      </c>
      <c r="Z25" s="50">
        <v>0</v>
      </c>
    </row>
    <row r="26" spans="1:26" x14ac:dyDescent="0.3">
      <c r="A26" s="39" t="s">
        <v>8</v>
      </c>
      <c r="B26" s="78"/>
      <c r="C26" s="78"/>
      <c r="D26" s="78"/>
      <c r="E26" s="78"/>
      <c r="F26" s="78"/>
      <c r="G26" s="79"/>
      <c r="H26" s="77"/>
      <c r="I26" s="77"/>
      <c r="J26" s="77"/>
      <c r="K26" s="77"/>
      <c r="L26" s="77"/>
      <c r="M26" s="77"/>
      <c r="N26" s="77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54"/>
      <c r="Z26" s="54"/>
    </row>
    <row r="27" spans="1:26" x14ac:dyDescent="0.3">
      <c r="A27" s="9" t="s">
        <v>11</v>
      </c>
      <c r="B27" s="24">
        <f>Sales_Actual!B27</f>
        <v>0</v>
      </c>
      <c r="C27" s="24">
        <f>Sales_Actual!C27</f>
        <v>1.1903999999999999</v>
      </c>
      <c r="D27" s="24">
        <f>Sales_Actual!D27</f>
        <v>150.16399999999999</v>
      </c>
      <c r="E27" s="24">
        <f>Sales_Actual!E27</f>
        <v>89.70532</v>
      </c>
      <c r="F27" s="24">
        <f>Sales_Actual!F27</f>
        <v>82.112799999999993</v>
      </c>
      <c r="G27" s="24">
        <f>Sales_Actual!G27</f>
        <v>325.87200000000001</v>
      </c>
      <c r="H27" s="24">
        <f>Sales_Actual!H27</f>
        <v>399.34199999999993</v>
      </c>
      <c r="I27" s="24">
        <f>Sales_Actual!I27</f>
        <v>484.71599999999995</v>
      </c>
      <c r="J27" s="24">
        <f>Sales_Actual!J27</f>
        <v>261.9128</v>
      </c>
      <c r="K27" s="24">
        <f>Sales_Actual!K27</f>
        <v>648.07359999999994</v>
      </c>
      <c r="L27" s="24">
        <f>Sales_Actual!L27</f>
        <v>848.30880000000002</v>
      </c>
      <c r="M27" s="24">
        <f>Sales_Actual!M27</f>
        <v>727.88</v>
      </c>
      <c r="N27" s="24">
        <f>Sales_Actual!N27</f>
        <v>727.88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50">
        <v>0</v>
      </c>
      <c r="Z27" s="50">
        <v>0</v>
      </c>
    </row>
    <row r="28" spans="1:26" x14ac:dyDescent="0.3">
      <c r="A28" s="9" t="s">
        <v>15</v>
      </c>
      <c r="B28" s="23">
        <v>0</v>
      </c>
      <c r="C28" s="24">
        <v>11.672599785995894</v>
      </c>
      <c r="D28" s="24">
        <v>12.763241465312868</v>
      </c>
      <c r="E28" s="24">
        <v>30.302525615235506</v>
      </c>
      <c r="F28" s="24">
        <v>16.519414836861557</v>
      </c>
      <c r="G28" s="24">
        <v>12.664987205261937</v>
      </c>
      <c r="H28" s="24">
        <v>10.974598985533433</v>
      </c>
      <c r="I28" s="24">
        <v>12.531751432122118</v>
      </c>
      <c r="J28" s="24">
        <v>11.469439172471274</v>
      </c>
      <c r="K28" s="24">
        <v>11.614970159507564</v>
      </c>
      <c r="L28" s="24">
        <v>10.763897548769091</v>
      </c>
      <c r="M28" s="24">
        <v>12.779501132036847</v>
      </c>
      <c r="N28" s="24">
        <v>12.67127550937416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51">
        <v>0</v>
      </c>
      <c r="Z28" s="51">
        <v>0</v>
      </c>
    </row>
    <row r="29" spans="1:26" x14ac:dyDescent="0.3">
      <c r="A29" s="9" t="s">
        <v>16</v>
      </c>
      <c r="B29" s="23">
        <f>B27*B28</f>
        <v>0</v>
      </c>
      <c r="C29" s="23">
        <f t="shared" ref="C29:N29" si="6">C27*C28</f>
        <v>13.895062785249511</v>
      </c>
      <c r="D29" s="23">
        <f t="shared" si="6"/>
        <v>1916.5793913972414</v>
      </c>
      <c r="E29" s="23">
        <f t="shared" si="6"/>
        <v>2718.297757122898</v>
      </c>
      <c r="F29" s="23">
        <f t="shared" si="6"/>
        <v>1356.4554066162455</v>
      </c>
      <c r="G29" s="23">
        <f t="shared" si="6"/>
        <v>4127.1647105531183</v>
      </c>
      <c r="H29" s="23">
        <f t="shared" si="6"/>
        <v>4382.6183080808914</v>
      </c>
      <c r="I29" s="23">
        <f t="shared" si="6"/>
        <v>6074.340427172504</v>
      </c>
      <c r="J29" s="23">
        <f t="shared" si="6"/>
        <v>3003.9929280916344</v>
      </c>
      <c r="K29" s="23">
        <f t="shared" si="6"/>
        <v>7527.3555251646403</v>
      </c>
      <c r="L29" s="23">
        <f t="shared" si="6"/>
        <v>9131.1090129192489</v>
      </c>
      <c r="M29" s="23">
        <f t="shared" si="6"/>
        <v>9301.9432839869805</v>
      </c>
      <c r="N29" s="23">
        <f t="shared" si="6"/>
        <v>9223.1680177632643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50">
        <v>0</v>
      </c>
      <c r="Z29" s="50">
        <v>0</v>
      </c>
    </row>
    <row r="30" spans="1:26" x14ac:dyDescent="0.3">
      <c r="A30" s="27" t="s">
        <v>9</v>
      </c>
      <c r="B30" s="78"/>
      <c r="C30" s="78"/>
      <c r="D30" s="78"/>
      <c r="E30" s="78"/>
      <c r="F30" s="78"/>
      <c r="G30" s="79"/>
      <c r="H30" s="77"/>
      <c r="I30" s="77"/>
      <c r="J30" s="77"/>
      <c r="K30" s="77"/>
      <c r="L30" s="77"/>
      <c r="M30" s="77"/>
      <c r="N30" s="77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53"/>
      <c r="Z30" s="53"/>
    </row>
    <row r="31" spans="1:26" x14ac:dyDescent="0.3">
      <c r="A31" s="9" t="s">
        <v>14</v>
      </c>
      <c r="B31" s="21">
        <f>Sales_Actual!B31</f>
        <v>30.108439999999998</v>
      </c>
      <c r="C31" s="21">
        <f>Sales_Actual!C31</f>
        <v>0</v>
      </c>
      <c r="D31" s="21">
        <f>Sales_Actual!D31</f>
        <v>21.781839999999999</v>
      </c>
      <c r="E31" s="21">
        <f>Sales_Actual!E31</f>
        <v>0</v>
      </c>
      <c r="F31" s="21">
        <f>Sales_Actual!F31</f>
        <v>0</v>
      </c>
      <c r="G31" s="21">
        <f>Sales_Actual!G31</f>
        <v>0</v>
      </c>
      <c r="H31" s="21">
        <f>Sales_Actual!H31</f>
        <v>0</v>
      </c>
      <c r="I31" s="21">
        <f>Sales_Actual!I31</f>
        <v>0</v>
      </c>
      <c r="J31" s="21">
        <f>Sales_Actual!J31</f>
        <v>0</v>
      </c>
      <c r="K31" s="21">
        <f>Sales_Actual!K31</f>
        <v>282.69148000000001</v>
      </c>
      <c r="L31" s="21">
        <f>Sales_Actual!L31</f>
        <v>574.88508000000002</v>
      </c>
      <c r="M31" s="21">
        <f>Sales_Actual!M31</f>
        <v>174.42583999999999</v>
      </c>
      <c r="N31" s="21">
        <f>Sales_Actual!N31</f>
        <v>174.42583999999999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50">
        <v>0</v>
      </c>
      <c r="Z31" s="50">
        <v>0</v>
      </c>
    </row>
    <row r="32" spans="1:26" x14ac:dyDescent="0.3">
      <c r="A32" s="9" t="s">
        <v>15</v>
      </c>
      <c r="B32" s="20">
        <v>29.362873619249591</v>
      </c>
      <c r="C32" s="20">
        <v>0</v>
      </c>
      <c r="D32" s="20">
        <v>24.616361397054003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34.362141497636848</v>
      </c>
      <c r="L32" s="20">
        <v>34.060225694626624</v>
      </c>
      <c r="M32" s="20">
        <v>28.932429913947288</v>
      </c>
      <c r="N32" s="20">
        <v>31.591244860980471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51">
        <v>0</v>
      </c>
      <c r="Z32" s="51">
        <v>0</v>
      </c>
    </row>
    <row r="33" spans="1:26" x14ac:dyDescent="0.3">
      <c r="A33" s="9" t="s">
        <v>16</v>
      </c>
      <c r="B33" s="23">
        <f>B31*B32</f>
        <v>884.07031859275912</v>
      </c>
      <c r="C33" s="23">
        <f t="shared" ref="C33:N33" si="7">C31*C32</f>
        <v>0</v>
      </c>
      <c r="D33" s="23">
        <f t="shared" si="7"/>
        <v>536.18964533280678</v>
      </c>
      <c r="E33" s="23">
        <f t="shared" si="7"/>
        <v>0</v>
      </c>
      <c r="F33" s="23">
        <f t="shared" si="7"/>
        <v>0</v>
      </c>
      <c r="G33" s="23">
        <f t="shared" si="7"/>
        <v>0</v>
      </c>
      <c r="H33" s="23">
        <f t="shared" si="7"/>
        <v>0</v>
      </c>
      <c r="I33" s="23">
        <f t="shared" si="7"/>
        <v>0</v>
      </c>
      <c r="J33" s="23">
        <f t="shared" si="7"/>
        <v>0</v>
      </c>
      <c r="K33" s="23">
        <f t="shared" si="7"/>
        <v>9713.8846359363779</v>
      </c>
      <c r="L33" s="23">
        <f t="shared" si="7"/>
        <v>19580.715573273483</v>
      </c>
      <c r="M33" s="23">
        <f t="shared" si="7"/>
        <v>5046.5633909813832</v>
      </c>
      <c r="N33" s="23">
        <f t="shared" si="7"/>
        <v>5510.3294215222013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50">
        <v>0</v>
      </c>
      <c r="Z33" s="50">
        <v>0</v>
      </c>
    </row>
    <row r="34" spans="1:26" x14ac:dyDescent="0.3">
      <c r="A34" s="27" t="s">
        <v>2</v>
      </c>
      <c r="B34" s="78"/>
      <c r="C34" s="78"/>
      <c r="D34" s="78"/>
      <c r="E34" s="78"/>
      <c r="F34" s="78"/>
      <c r="G34" s="79"/>
      <c r="H34" s="77"/>
      <c r="I34" s="77"/>
      <c r="J34" s="77"/>
      <c r="K34" s="77"/>
      <c r="L34" s="77"/>
      <c r="M34" s="77"/>
      <c r="N34" s="77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53"/>
      <c r="Z34" s="53"/>
    </row>
    <row r="35" spans="1:26" x14ac:dyDescent="0.3">
      <c r="A35" s="9" t="s">
        <v>16</v>
      </c>
      <c r="B35" s="23">
        <v>674.79011201690253</v>
      </c>
      <c r="C35" s="23">
        <v>3566.1409670936259</v>
      </c>
      <c r="D35" s="23">
        <v>3588.7332786183915</v>
      </c>
      <c r="E35" s="23">
        <v>2380.7945871972229</v>
      </c>
      <c r="F35" s="23">
        <v>2360.7433919901591</v>
      </c>
      <c r="G35" s="23">
        <v>3424.4145323054349</v>
      </c>
      <c r="H35" s="23">
        <v>3649.2241665144425</v>
      </c>
      <c r="I35" s="23">
        <v>2761.3183183577589</v>
      </c>
      <c r="J35" s="23">
        <v>917.76473696554103</v>
      </c>
      <c r="K35" s="23">
        <v>3536.2313546251598</v>
      </c>
      <c r="L35" s="23">
        <v>4428.7007269923542</v>
      </c>
      <c r="M35" s="23">
        <v>2509.9372003256985</v>
      </c>
      <c r="N35" s="23">
        <v>2146.3393471720656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</row>
    <row r="36" spans="1:26" x14ac:dyDescent="0.3">
      <c r="A36" s="27" t="s">
        <v>10</v>
      </c>
      <c r="B36" s="34">
        <f t="shared" ref="B36:N36" si="8">B5+B9+B13+B17+B21+B25+B29+B33+B35</f>
        <v>89468.322930507842</v>
      </c>
      <c r="C36" s="34">
        <f t="shared" si="8"/>
        <v>168385.50683749345</v>
      </c>
      <c r="D36" s="34">
        <f t="shared" si="8"/>
        <v>211331.00419095601</v>
      </c>
      <c r="E36" s="34">
        <f t="shared" si="8"/>
        <v>160344.72898928096</v>
      </c>
      <c r="F36" s="34">
        <f t="shared" si="8"/>
        <v>144339.06022485573</v>
      </c>
      <c r="G36" s="34">
        <f t="shared" si="8"/>
        <v>191698.50191316073</v>
      </c>
      <c r="H36" s="34">
        <f t="shared" si="8"/>
        <v>211024.60551697999</v>
      </c>
      <c r="I36" s="34">
        <f t="shared" si="8"/>
        <v>189879.10080383945</v>
      </c>
      <c r="J36" s="34">
        <f t="shared" si="8"/>
        <v>112030.2380929425</v>
      </c>
      <c r="K36" s="34">
        <f t="shared" si="8"/>
        <v>205839.81494705111</v>
      </c>
      <c r="L36" s="34">
        <f t="shared" si="8"/>
        <v>289710.15562223364</v>
      </c>
      <c r="M36" s="34">
        <f t="shared" si="8"/>
        <v>188660.32394792029</v>
      </c>
      <c r="N36" s="34">
        <f t="shared" si="8"/>
        <v>159476.15675481889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6">
        <v>0</v>
      </c>
      <c r="Z36" s="76">
        <v>0</v>
      </c>
    </row>
  </sheetData>
  <pageMargins left="0.19685039370078741" right="0.70866141732283472" top="0.31496062992125984" bottom="0.27559055118110237" header="0.19685039370078741" footer="0.19685039370078741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H4"/>
  <sheetViews>
    <sheetView zoomScale="85" zoomScaleNormal="85" workbookViewId="0">
      <selection activeCell="A4" sqref="A4"/>
    </sheetView>
  </sheetViews>
  <sheetFormatPr defaultRowHeight="15.05" x14ac:dyDescent="0.3"/>
  <cols>
    <col min="1" max="1" width="34.5546875" customWidth="1"/>
    <col min="2" max="2" width="10.88671875" customWidth="1"/>
    <col min="3" max="27" width="13.5546875" style="11" customWidth="1"/>
    <col min="45" max="320" width="8.88671875" style="26"/>
  </cols>
  <sheetData>
    <row r="1" spans="1:27" x14ac:dyDescent="0.3">
      <c r="A1" s="30" t="s">
        <v>0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  <c r="AA1" s="55"/>
    </row>
    <row r="2" spans="1:27" ht="29" customHeight="1" x14ac:dyDescent="0.3">
      <c r="A2" s="84" t="s">
        <v>49</v>
      </c>
      <c r="B2" s="85">
        <v>168142.95269518925</v>
      </c>
      <c r="C2" s="85">
        <v>176213.3910344794</v>
      </c>
      <c r="D2" s="85">
        <v>183797.04964974552</v>
      </c>
      <c r="E2" s="85">
        <v>188097.33499598625</v>
      </c>
      <c r="F2" s="85">
        <v>195169.87089099811</v>
      </c>
      <c r="G2" s="85">
        <v>205630.11959630589</v>
      </c>
      <c r="H2" s="85">
        <v>219371.7267897749</v>
      </c>
      <c r="I2" s="85">
        <v>213132.14646400703</v>
      </c>
      <c r="J2" s="85">
        <v>226775.31416633673</v>
      </c>
      <c r="K2" s="85">
        <v>238177.54703184307</v>
      </c>
      <c r="L2" s="85">
        <v>253364.29098184008</v>
      </c>
      <c r="M2" s="85">
        <v>245838.12279105405</v>
      </c>
      <c r="N2" s="85">
        <v>262120.26923055129</v>
      </c>
      <c r="O2" s="85">
        <v>0</v>
      </c>
      <c r="P2" s="85">
        <v>0</v>
      </c>
      <c r="Q2" s="85">
        <v>0</v>
      </c>
      <c r="R2" s="85">
        <v>0</v>
      </c>
      <c r="S2" s="85">
        <v>0</v>
      </c>
      <c r="T2" s="85">
        <v>0</v>
      </c>
      <c r="U2" s="85">
        <v>0</v>
      </c>
      <c r="V2" s="85">
        <v>0</v>
      </c>
      <c r="W2" s="85">
        <v>0</v>
      </c>
      <c r="X2" s="85">
        <v>0</v>
      </c>
      <c r="Y2" s="85">
        <v>0</v>
      </c>
      <c r="Z2" s="85">
        <v>0</v>
      </c>
      <c r="AA2" s="85"/>
    </row>
    <row r="3" spans="1:27" ht="29" customHeight="1" x14ac:dyDescent="0.3">
      <c r="A3" s="84" t="s">
        <v>50</v>
      </c>
      <c r="B3" s="85">
        <v>109164.73109594014</v>
      </c>
      <c r="C3" s="85">
        <v>109364.8</v>
      </c>
      <c r="D3" s="85">
        <v>104862.03127593001</v>
      </c>
      <c r="E3" s="85">
        <v>107460.70783204175</v>
      </c>
      <c r="F3" s="85">
        <v>144869.31134359751</v>
      </c>
      <c r="G3" s="85">
        <v>158085.8680208546</v>
      </c>
      <c r="H3" s="85">
        <v>128120.81252859323</v>
      </c>
      <c r="I3" s="85">
        <v>110365.99498029456</v>
      </c>
      <c r="J3" s="85">
        <v>100237.62176769711</v>
      </c>
      <c r="K3" s="85">
        <v>143107.0116076436</v>
      </c>
      <c r="L3" s="85">
        <v>154871.78207848271</v>
      </c>
      <c r="M3" s="85">
        <v>149712.56572213367</v>
      </c>
      <c r="N3" s="85">
        <v>150175.74565049403</v>
      </c>
      <c r="O3" s="85">
        <v>0</v>
      </c>
      <c r="P3" s="85">
        <v>0</v>
      </c>
      <c r="Q3" s="85">
        <v>0</v>
      </c>
      <c r="R3" s="85">
        <v>0</v>
      </c>
      <c r="S3" s="85">
        <v>0</v>
      </c>
      <c r="T3" s="85">
        <v>0</v>
      </c>
      <c r="U3" s="85">
        <v>0</v>
      </c>
      <c r="V3" s="85">
        <v>0</v>
      </c>
      <c r="W3" s="85">
        <v>0</v>
      </c>
      <c r="X3" s="85">
        <v>0</v>
      </c>
      <c r="Y3" s="85">
        <v>0</v>
      </c>
      <c r="Z3" s="85">
        <v>0</v>
      </c>
      <c r="AA3" s="85"/>
    </row>
    <row r="4" spans="1:27" ht="29" customHeight="1" x14ac:dyDescent="0.3">
      <c r="A4" s="84" t="s">
        <v>51</v>
      </c>
      <c r="B4" s="85">
        <v>54982.535294664027</v>
      </c>
      <c r="C4" s="85">
        <v>21185.389800667006</v>
      </c>
      <c r="D4" s="85">
        <v>49077.648605494804</v>
      </c>
      <c r="E4" s="85">
        <v>6967.9673967445342</v>
      </c>
      <c r="F4" s="85">
        <v>20990.427847235434</v>
      </c>
      <c r="G4" s="85">
        <v>34687.193398158517</v>
      </c>
      <c r="H4" s="85">
        <v>36120.436180166136</v>
      </c>
      <c r="I4" s="85">
        <v>9803.0302230313246</v>
      </c>
      <c r="J4" s="85">
        <v>9235</v>
      </c>
      <c r="K4" s="85">
        <v>10863.810550512382</v>
      </c>
      <c r="L4" s="85">
        <v>12568</v>
      </c>
      <c r="M4" s="85">
        <v>11506</v>
      </c>
      <c r="N4" s="85">
        <v>14111</v>
      </c>
      <c r="O4" s="85">
        <v>0</v>
      </c>
      <c r="P4" s="85">
        <v>0</v>
      </c>
      <c r="Q4" s="85">
        <v>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85">
        <v>0</v>
      </c>
      <c r="X4" s="85">
        <v>0</v>
      </c>
      <c r="Y4" s="85">
        <v>0</v>
      </c>
      <c r="Z4" s="85">
        <v>0</v>
      </c>
      <c r="AA4" s="85"/>
    </row>
  </sheetData>
  <pageMargins left="0.19685039370078741" right="0.19685039370078741" top="0.23622047244094491" bottom="0.23622047244094491" header="0.19685039370078741" footer="0.19685039370078741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7"/>
  <sheetViews>
    <sheetView zoomScale="85" zoomScaleNormal="85" workbookViewId="0">
      <selection activeCell="A7" sqref="A7"/>
    </sheetView>
  </sheetViews>
  <sheetFormatPr defaultColWidth="11.44140625" defaultRowHeight="12.55" x14ac:dyDescent="0.2"/>
  <cols>
    <col min="1" max="1" width="42.5546875" style="13" customWidth="1"/>
    <col min="2" max="2" width="12.88671875" style="13" customWidth="1"/>
    <col min="3" max="10" width="11.44140625" style="10" customWidth="1"/>
    <col min="11" max="14" width="11.44140625" style="10"/>
    <col min="15" max="30" width="11.44140625" style="10" customWidth="1"/>
    <col min="31" max="240" width="11.44140625" style="10"/>
    <col min="241" max="241" width="119.88671875" style="10" bestFit="1" customWidth="1"/>
    <col min="242" max="242" width="12.88671875" style="10" bestFit="1" customWidth="1"/>
    <col min="243" max="243" width="10.88671875" style="10" bestFit="1" customWidth="1"/>
    <col min="244" max="246" width="11.88671875" style="10" bestFit="1" customWidth="1"/>
    <col min="247" max="247" width="14" style="10" bestFit="1" customWidth="1"/>
    <col min="248" max="248" width="12.5546875" style="10" bestFit="1" customWidth="1"/>
    <col min="249" max="249" width="12.109375" style="10" bestFit="1" customWidth="1"/>
    <col min="250" max="250" width="12.88671875" style="10" bestFit="1" customWidth="1"/>
    <col min="251" max="251" width="12" style="10" bestFit="1" customWidth="1"/>
    <col min="252" max="252" width="13.44140625" style="10" bestFit="1" customWidth="1"/>
    <col min="253" max="253" width="11.109375" style="10" bestFit="1" customWidth="1"/>
    <col min="254" max="254" width="12" style="10" bestFit="1" customWidth="1"/>
    <col min="255" max="257" width="11.109375" style="10" bestFit="1" customWidth="1"/>
    <col min="258" max="258" width="11.44140625" style="10" bestFit="1" customWidth="1"/>
    <col min="259" max="496" width="11.44140625" style="10"/>
    <col min="497" max="497" width="119.88671875" style="10" bestFit="1" customWidth="1"/>
    <col min="498" max="498" width="12.88671875" style="10" bestFit="1" customWidth="1"/>
    <col min="499" max="499" width="10.88671875" style="10" bestFit="1" customWidth="1"/>
    <col min="500" max="502" width="11.88671875" style="10" bestFit="1" customWidth="1"/>
    <col min="503" max="503" width="14" style="10" bestFit="1" customWidth="1"/>
    <col min="504" max="504" width="12.5546875" style="10" bestFit="1" customWidth="1"/>
    <col min="505" max="505" width="12.109375" style="10" bestFit="1" customWidth="1"/>
    <col min="506" max="506" width="12.88671875" style="10" bestFit="1" customWidth="1"/>
    <col min="507" max="507" width="12" style="10" bestFit="1" customWidth="1"/>
    <col min="508" max="508" width="13.44140625" style="10" bestFit="1" customWidth="1"/>
    <col min="509" max="509" width="11.109375" style="10" bestFit="1" customWidth="1"/>
    <col min="510" max="510" width="12" style="10" bestFit="1" customWidth="1"/>
    <col min="511" max="513" width="11.109375" style="10" bestFit="1" customWidth="1"/>
    <col min="514" max="514" width="11.44140625" style="10" bestFit="1" customWidth="1"/>
    <col min="515" max="752" width="11.44140625" style="10"/>
    <col min="753" max="753" width="119.88671875" style="10" bestFit="1" customWidth="1"/>
    <col min="754" max="754" width="12.88671875" style="10" bestFit="1" customWidth="1"/>
    <col min="755" max="755" width="10.88671875" style="10" bestFit="1" customWidth="1"/>
    <col min="756" max="758" width="11.88671875" style="10" bestFit="1" customWidth="1"/>
    <col min="759" max="759" width="14" style="10" bestFit="1" customWidth="1"/>
    <col min="760" max="760" width="12.5546875" style="10" bestFit="1" customWidth="1"/>
    <col min="761" max="761" width="12.109375" style="10" bestFit="1" customWidth="1"/>
    <col min="762" max="762" width="12.88671875" style="10" bestFit="1" customWidth="1"/>
    <col min="763" max="763" width="12" style="10" bestFit="1" customWidth="1"/>
    <col min="764" max="764" width="13.44140625" style="10" bestFit="1" customWidth="1"/>
    <col min="765" max="765" width="11.109375" style="10" bestFit="1" customWidth="1"/>
    <col min="766" max="766" width="12" style="10" bestFit="1" customWidth="1"/>
    <col min="767" max="769" width="11.109375" style="10" bestFit="1" customWidth="1"/>
    <col min="770" max="770" width="11.44140625" style="10" bestFit="1" customWidth="1"/>
    <col min="771" max="1008" width="11.44140625" style="10"/>
    <col min="1009" max="1009" width="119.88671875" style="10" bestFit="1" customWidth="1"/>
    <col min="1010" max="1010" width="12.88671875" style="10" bestFit="1" customWidth="1"/>
    <col min="1011" max="1011" width="10.88671875" style="10" bestFit="1" customWidth="1"/>
    <col min="1012" max="1014" width="11.88671875" style="10" bestFit="1" customWidth="1"/>
    <col min="1015" max="1015" width="14" style="10" bestFit="1" customWidth="1"/>
    <col min="1016" max="1016" width="12.5546875" style="10" bestFit="1" customWidth="1"/>
    <col min="1017" max="1017" width="12.109375" style="10" bestFit="1" customWidth="1"/>
    <col min="1018" max="1018" width="12.88671875" style="10" bestFit="1" customWidth="1"/>
    <col min="1019" max="1019" width="12" style="10" bestFit="1" customWidth="1"/>
    <col min="1020" max="1020" width="13.44140625" style="10" bestFit="1" customWidth="1"/>
    <col min="1021" max="1021" width="11.109375" style="10" bestFit="1" customWidth="1"/>
    <col min="1022" max="1022" width="12" style="10" bestFit="1" customWidth="1"/>
    <col min="1023" max="1025" width="11.109375" style="10" bestFit="1" customWidth="1"/>
    <col min="1026" max="1026" width="11.44140625" style="10" bestFit="1" customWidth="1"/>
    <col min="1027" max="1264" width="11.44140625" style="10"/>
    <col min="1265" max="1265" width="119.88671875" style="10" bestFit="1" customWidth="1"/>
    <col min="1266" max="1266" width="12.88671875" style="10" bestFit="1" customWidth="1"/>
    <col min="1267" max="1267" width="10.88671875" style="10" bestFit="1" customWidth="1"/>
    <col min="1268" max="1270" width="11.88671875" style="10" bestFit="1" customWidth="1"/>
    <col min="1271" max="1271" width="14" style="10" bestFit="1" customWidth="1"/>
    <col min="1272" max="1272" width="12.5546875" style="10" bestFit="1" customWidth="1"/>
    <col min="1273" max="1273" width="12.109375" style="10" bestFit="1" customWidth="1"/>
    <col min="1274" max="1274" width="12.88671875" style="10" bestFit="1" customWidth="1"/>
    <col min="1275" max="1275" width="12" style="10" bestFit="1" customWidth="1"/>
    <col min="1276" max="1276" width="13.44140625" style="10" bestFit="1" customWidth="1"/>
    <col min="1277" max="1277" width="11.109375" style="10" bestFit="1" customWidth="1"/>
    <col min="1278" max="1278" width="12" style="10" bestFit="1" customWidth="1"/>
    <col min="1279" max="1281" width="11.109375" style="10" bestFit="1" customWidth="1"/>
    <col min="1282" max="1282" width="11.44140625" style="10" bestFit="1" customWidth="1"/>
    <col min="1283" max="1520" width="11.44140625" style="10"/>
    <col min="1521" max="1521" width="119.88671875" style="10" bestFit="1" customWidth="1"/>
    <col min="1522" max="1522" width="12.88671875" style="10" bestFit="1" customWidth="1"/>
    <col min="1523" max="1523" width="10.88671875" style="10" bestFit="1" customWidth="1"/>
    <col min="1524" max="1526" width="11.88671875" style="10" bestFit="1" customWidth="1"/>
    <col min="1527" max="1527" width="14" style="10" bestFit="1" customWidth="1"/>
    <col min="1528" max="1528" width="12.5546875" style="10" bestFit="1" customWidth="1"/>
    <col min="1529" max="1529" width="12.109375" style="10" bestFit="1" customWidth="1"/>
    <col min="1530" max="1530" width="12.88671875" style="10" bestFit="1" customWidth="1"/>
    <col min="1531" max="1531" width="12" style="10" bestFit="1" customWidth="1"/>
    <col min="1532" max="1532" width="13.44140625" style="10" bestFit="1" customWidth="1"/>
    <col min="1533" max="1533" width="11.109375" style="10" bestFit="1" customWidth="1"/>
    <col min="1534" max="1534" width="12" style="10" bestFit="1" customWidth="1"/>
    <col min="1535" max="1537" width="11.109375" style="10" bestFit="1" customWidth="1"/>
    <col min="1538" max="1538" width="11.44140625" style="10" bestFit="1" customWidth="1"/>
    <col min="1539" max="1776" width="11.44140625" style="10"/>
    <col min="1777" max="1777" width="119.88671875" style="10" bestFit="1" customWidth="1"/>
    <col min="1778" max="1778" width="12.88671875" style="10" bestFit="1" customWidth="1"/>
    <col min="1779" max="1779" width="10.88671875" style="10" bestFit="1" customWidth="1"/>
    <col min="1780" max="1782" width="11.88671875" style="10" bestFit="1" customWidth="1"/>
    <col min="1783" max="1783" width="14" style="10" bestFit="1" customWidth="1"/>
    <col min="1784" max="1784" width="12.5546875" style="10" bestFit="1" customWidth="1"/>
    <col min="1785" max="1785" width="12.109375" style="10" bestFit="1" customWidth="1"/>
    <col min="1786" max="1786" width="12.88671875" style="10" bestFit="1" customWidth="1"/>
    <col min="1787" max="1787" width="12" style="10" bestFit="1" customWidth="1"/>
    <col min="1788" max="1788" width="13.44140625" style="10" bestFit="1" customWidth="1"/>
    <col min="1789" max="1789" width="11.109375" style="10" bestFit="1" customWidth="1"/>
    <col min="1790" max="1790" width="12" style="10" bestFit="1" customWidth="1"/>
    <col min="1791" max="1793" width="11.109375" style="10" bestFit="1" customWidth="1"/>
    <col min="1794" max="1794" width="11.44140625" style="10" bestFit="1" customWidth="1"/>
    <col min="1795" max="2032" width="11.44140625" style="10"/>
    <col min="2033" max="2033" width="119.88671875" style="10" bestFit="1" customWidth="1"/>
    <col min="2034" max="2034" width="12.88671875" style="10" bestFit="1" customWidth="1"/>
    <col min="2035" max="2035" width="10.88671875" style="10" bestFit="1" customWidth="1"/>
    <col min="2036" max="2038" width="11.88671875" style="10" bestFit="1" customWidth="1"/>
    <col min="2039" max="2039" width="14" style="10" bestFit="1" customWidth="1"/>
    <col min="2040" max="2040" width="12.5546875" style="10" bestFit="1" customWidth="1"/>
    <col min="2041" max="2041" width="12.109375" style="10" bestFit="1" customWidth="1"/>
    <col min="2042" max="2042" width="12.88671875" style="10" bestFit="1" customWidth="1"/>
    <col min="2043" max="2043" width="12" style="10" bestFit="1" customWidth="1"/>
    <col min="2044" max="2044" width="13.44140625" style="10" bestFit="1" customWidth="1"/>
    <col min="2045" max="2045" width="11.109375" style="10" bestFit="1" customWidth="1"/>
    <col min="2046" max="2046" width="12" style="10" bestFit="1" customWidth="1"/>
    <col min="2047" max="2049" width="11.109375" style="10" bestFit="1" customWidth="1"/>
    <col min="2050" max="2050" width="11.44140625" style="10" bestFit="1" customWidth="1"/>
    <col min="2051" max="2288" width="11.44140625" style="10"/>
    <col min="2289" max="2289" width="119.88671875" style="10" bestFit="1" customWidth="1"/>
    <col min="2290" max="2290" width="12.88671875" style="10" bestFit="1" customWidth="1"/>
    <col min="2291" max="2291" width="10.88671875" style="10" bestFit="1" customWidth="1"/>
    <col min="2292" max="2294" width="11.88671875" style="10" bestFit="1" customWidth="1"/>
    <col min="2295" max="2295" width="14" style="10" bestFit="1" customWidth="1"/>
    <col min="2296" max="2296" width="12.5546875" style="10" bestFit="1" customWidth="1"/>
    <col min="2297" max="2297" width="12.109375" style="10" bestFit="1" customWidth="1"/>
    <col min="2298" max="2298" width="12.88671875" style="10" bestFit="1" customWidth="1"/>
    <col min="2299" max="2299" width="12" style="10" bestFit="1" customWidth="1"/>
    <col min="2300" max="2300" width="13.44140625" style="10" bestFit="1" customWidth="1"/>
    <col min="2301" max="2301" width="11.109375" style="10" bestFit="1" customWidth="1"/>
    <col min="2302" max="2302" width="12" style="10" bestFit="1" customWidth="1"/>
    <col min="2303" max="2305" width="11.109375" style="10" bestFit="1" customWidth="1"/>
    <col min="2306" max="2306" width="11.44140625" style="10" bestFit="1" customWidth="1"/>
    <col min="2307" max="2544" width="11.44140625" style="10"/>
    <col min="2545" max="2545" width="119.88671875" style="10" bestFit="1" customWidth="1"/>
    <col min="2546" max="2546" width="12.88671875" style="10" bestFit="1" customWidth="1"/>
    <col min="2547" max="2547" width="10.88671875" style="10" bestFit="1" customWidth="1"/>
    <col min="2548" max="2550" width="11.88671875" style="10" bestFit="1" customWidth="1"/>
    <col min="2551" max="2551" width="14" style="10" bestFit="1" customWidth="1"/>
    <col min="2552" max="2552" width="12.5546875" style="10" bestFit="1" customWidth="1"/>
    <col min="2553" max="2553" width="12.109375" style="10" bestFit="1" customWidth="1"/>
    <col min="2554" max="2554" width="12.88671875" style="10" bestFit="1" customWidth="1"/>
    <col min="2555" max="2555" width="12" style="10" bestFit="1" customWidth="1"/>
    <col min="2556" max="2556" width="13.44140625" style="10" bestFit="1" customWidth="1"/>
    <col min="2557" max="2557" width="11.109375" style="10" bestFit="1" customWidth="1"/>
    <col min="2558" max="2558" width="12" style="10" bestFit="1" customWidth="1"/>
    <col min="2559" max="2561" width="11.109375" style="10" bestFit="1" customWidth="1"/>
    <col min="2562" max="2562" width="11.44140625" style="10" bestFit="1" customWidth="1"/>
    <col min="2563" max="2800" width="11.44140625" style="10"/>
    <col min="2801" max="2801" width="119.88671875" style="10" bestFit="1" customWidth="1"/>
    <col min="2802" max="2802" width="12.88671875" style="10" bestFit="1" customWidth="1"/>
    <col min="2803" max="2803" width="10.88671875" style="10" bestFit="1" customWidth="1"/>
    <col min="2804" max="2806" width="11.88671875" style="10" bestFit="1" customWidth="1"/>
    <col min="2807" max="2807" width="14" style="10" bestFit="1" customWidth="1"/>
    <col min="2808" max="2808" width="12.5546875" style="10" bestFit="1" customWidth="1"/>
    <col min="2809" max="2809" width="12.109375" style="10" bestFit="1" customWidth="1"/>
    <col min="2810" max="2810" width="12.88671875" style="10" bestFit="1" customWidth="1"/>
    <col min="2811" max="2811" width="12" style="10" bestFit="1" customWidth="1"/>
    <col min="2812" max="2812" width="13.44140625" style="10" bestFit="1" customWidth="1"/>
    <col min="2813" max="2813" width="11.109375" style="10" bestFit="1" customWidth="1"/>
    <col min="2814" max="2814" width="12" style="10" bestFit="1" customWidth="1"/>
    <col min="2815" max="2817" width="11.109375" style="10" bestFit="1" customWidth="1"/>
    <col min="2818" max="2818" width="11.44140625" style="10" bestFit="1" customWidth="1"/>
    <col min="2819" max="3056" width="11.44140625" style="10"/>
    <col min="3057" max="3057" width="119.88671875" style="10" bestFit="1" customWidth="1"/>
    <col min="3058" max="3058" width="12.88671875" style="10" bestFit="1" customWidth="1"/>
    <col min="3059" max="3059" width="10.88671875" style="10" bestFit="1" customWidth="1"/>
    <col min="3060" max="3062" width="11.88671875" style="10" bestFit="1" customWidth="1"/>
    <col min="3063" max="3063" width="14" style="10" bestFit="1" customWidth="1"/>
    <col min="3064" max="3064" width="12.5546875" style="10" bestFit="1" customWidth="1"/>
    <col min="3065" max="3065" width="12.109375" style="10" bestFit="1" customWidth="1"/>
    <col min="3066" max="3066" width="12.88671875" style="10" bestFit="1" customWidth="1"/>
    <col min="3067" max="3067" width="12" style="10" bestFit="1" customWidth="1"/>
    <col min="3068" max="3068" width="13.44140625" style="10" bestFit="1" customWidth="1"/>
    <col min="3069" max="3069" width="11.109375" style="10" bestFit="1" customWidth="1"/>
    <col min="3070" max="3070" width="12" style="10" bestFit="1" customWidth="1"/>
    <col min="3071" max="3073" width="11.109375" style="10" bestFit="1" customWidth="1"/>
    <col min="3074" max="3074" width="11.44140625" style="10" bestFit="1" customWidth="1"/>
    <col min="3075" max="3312" width="11.44140625" style="10"/>
    <col min="3313" max="3313" width="119.88671875" style="10" bestFit="1" customWidth="1"/>
    <col min="3314" max="3314" width="12.88671875" style="10" bestFit="1" customWidth="1"/>
    <col min="3315" max="3315" width="10.88671875" style="10" bestFit="1" customWidth="1"/>
    <col min="3316" max="3318" width="11.88671875" style="10" bestFit="1" customWidth="1"/>
    <col min="3319" max="3319" width="14" style="10" bestFit="1" customWidth="1"/>
    <col min="3320" max="3320" width="12.5546875" style="10" bestFit="1" customWidth="1"/>
    <col min="3321" max="3321" width="12.109375" style="10" bestFit="1" customWidth="1"/>
    <col min="3322" max="3322" width="12.88671875" style="10" bestFit="1" customWidth="1"/>
    <col min="3323" max="3323" width="12" style="10" bestFit="1" customWidth="1"/>
    <col min="3324" max="3324" width="13.44140625" style="10" bestFit="1" customWidth="1"/>
    <col min="3325" max="3325" width="11.109375" style="10" bestFit="1" customWidth="1"/>
    <col min="3326" max="3326" width="12" style="10" bestFit="1" customWidth="1"/>
    <col min="3327" max="3329" width="11.109375" style="10" bestFit="1" customWidth="1"/>
    <col min="3330" max="3330" width="11.44140625" style="10" bestFit="1" customWidth="1"/>
    <col min="3331" max="3568" width="11.44140625" style="10"/>
    <col min="3569" max="3569" width="119.88671875" style="10" bestFit="1" customWidth="1"/>
    <col min="3570" max="3570" width="12.88671875" style="10" bestFit="1" customWidth="1"/>
    <col min="3571" max="3571" width="10.88671875" style="10" bestFit="1" customWidth="1"/>
    <col min="3572" max="3574" width="11.88671875" style="10" bestFit="1" customWidth="1"/>
    <col min="3575" max="3575" width="14" style="10" bestFit="1" customWidth="1"/>
    <col min="3576" max="3576" width="12.5546875" style="10" bestFit="1" customWidth="1"/>
    <col min="3577" max="3577" width="12.109375" style="10" bestFit="1" customWidth="1"/>
    <col min="3578" max="3578" width="12.88671875" style="10" bestFit="1" customWidth="1"/>
    <col min="3579" max="3579" width="12" style="10" bestFit="1" customWidth="1"/>
    <col min="3580" max="3580" width="13.44140625" style="10" bestFit="1" customWidth="1"/>
    <col min="3581" max="3581" width="11.109375" style="10" bestFit="1" customWidth="1"/>
    <col min="3582" max="3582" width="12" style="10" bestFit="1" customWidth="1"/>
    <col min="3583" max="3585" width="11.109375" style="10" bestFit="1" customWidth="1"/>
    <col min="3586" max="3586" width="11.44140625" style="10" bestFit="1" customWidth="1"/>
    <col min="3587" max="3824" width="11.44140625" style="10"/>
    <col min="3825" max="3825" width="119.88671875" style="10" bestFit="1" customWidth="1"/>
    <col min="3826" max="3826" width="12.88671875" style="10" bestFit="1" customWidth="1"/>
    <col min="3827" max="3827" width="10.88671875" style="10" bestFit="1" customWidth="1"/>
    <col min="3828" max="3830" width="11.88671875" style="10" bestFit="1" customWidth="1"/>
    <col min="3831" max="3831" width="14" style="10" bestFit="1" customWidth="1"/>
    <col min="3832" max="3832" width="12.5546875" style="10" bestFit="1" customWidth="1"/>
    <col min="3833" max="3833" width="12.109375" style="10" bestFit="1" customWidth="1"/>
    <col min="3834" max="3834" width="12.88671875" style="10" bestFit="1" customWidth="1"/>
    <col min="3835" max="3835" width="12" style="10" bestFit="1" customWidth="1"/>
    <col min="3836" max="3836" width="13.44140625" style="10" bestFit="1" customWidth="1"/>
    <col min="3837" max="3837" width="11.109375" style="10" bestFit="1" customWidth="1"/>
    <col min="3838" max="3838" width="12" style="10" bestFit="1" customWidth="1"/>
    <col min="3839" max="3841" width="11.109375" style="10" bestFit="1" customWidth="1"/>
    <col min="3842" max="3842" width="11.44140625" style="10" bestFit="1" customWidth="1"/>
    <col min="3843" max="4080" width="11.44140625" style="10"/>
    <col min="4081" max="4081" width="119.88671875" style="10" bestFit="1" customWidth="1"/>
    <col min="4082" max="4082" width="12.88671875" style="10" bestFit="1" customWidth="1"/>
    <col min="4083" max="4083" width="10.88671875" style="10" bestFit="1" customWidth="1"/>
    <col min="4084" max="4086" width="11.88671875" style="10" bestFit="1" customWidth="1"/>
    <col min="4087" max="4087" width="14" style="10" bestFit="1" customWidth="1"/>
    <col min="4088" max="4088" width="12.5546875" style="10" bestFit="1" customWidth="1"/>
    <col min="4089" max="4089" width="12.109375" style="10" bestFit="1" customWidth="1"/>
    <col min="4090" max="4090" width="12.88671875" style="10" bestFit="1" customWidth="1"/>
    <col min="4091" max="4091" width="12" style="10" bestFit="1" customWidth="1"/>
    <col min="4092" max="4092" width="13.44140625" style="10" bestFit="1" customWidth="1"/>
    <col min="4093" max="4093" width="11.109375" style="10" bestFit="1" customWidth="1"/>
    <col min="4094" max="4094" width="12" style="10" bestFit="1" customWidth="1"/>
    <col min="4095" max="4097" width="11.109375" style="10" bestFit="1" customWidth="1"/>
    <col min="4098" max="4098" width="11.44140625" style="10" bestFit="1" customWidth="1"/>
    <col min="4099" max="4336" width="11.44140625" style="10"/>
    <col min="4337" max="4337" width="119.88671875" style="10" bestFit="1" customWidth="1"/>
    <col min="4338" max="4338" width="12.88671875" style="10" bestFit="1" customWidth="1"/>
    <col min="4339" max="4339" width="10.88671875" style="10" bestFit="1" customWidth="1"/>
    <col min="4340" max="4342" width="11.88671875" style="10" bestFit="1" customWidth="1"/>
    <col min="4343" max="4343" width="14" style="10" bestFit="1" customWidth="1"/>
    <col min="4344" max="4344" width="12.5546875" style="10" bestFit="1" customWidth="1"/>
    <col min="4345" max="4345" width="12.109375" style="10" bestFit="1" customWidth="1"/>
    <col min="4346" max="4346" width="12.88671875" style="10" bestFit="1" customWidth="1"/>
    <col min="4347" max="4347" width="12" style="10" bestFit="1" customWidth="1"/>
    <col min="4348" max="4348" width="13.44140625" style="10" bestFit="1" customWidth="1"/>
    <col min="4349" max="4349" width="11.109375" style="10" bestFit="1" customWidth="1"/>
    <col min="4350" max="4350" width="12" style="10" bestFit="1" customWidth="1"/>
    <col min="4351" max="4353" width="11.109375" style="10" bestFit="1" customWidth="1"/>
    <col min="4354" max="4354" width="11.44140625" style="10" bestFit="1" customWidth="1"/>
    <col min="4355" max="4592" width="11.44140625" style="10"/>
    <col min="4593" max="4593" width="119.88671875" style="10" bestFit="1" customWidth="1"/>
    <col min="4594" max="4594" width="12.88671875" style="10" bestFit="1" customWidth="1"/>
    <col min="4595" max="4595" width="10.88671875" style="10" bestFit="1" customWidth="1"/>
    <col min="4596" max="4598" width="11.88671875" style="10" bestFit="1" customWidth="1"/>
    <col min="4599" max="4599" width="14" style="10" bestFit="1" customWidth="1"/>
    <col min="4600" max="4600" width="12.5546875" style="10" bestFit="1" customWidth="1"/>
    <col min="4601" max="4601" width="12.109375" style="10" bestFit="1" customWidth="1"/>
    <col min="4602" max="4602" width="12.88671875" style="10" bestFit="1" customWidth="1"/>
    <col min="4603" max="4603" width="12" style="10" bestFit="1" customWidth="1"/>
    <col min="4604" max="4604" width="13.44140625" style="10" bestFit="1" customWidth="1"/>
    <col min="4605" max="4605" width="11.109375" style="10" bestFit="1" customWidth="1"/>
    <col min="4606" max="4606" width="12" style="10" bestFit="1" customWidth="1"/>
    <col min="4607" max="4609" width="11.109375" style="10" bestFit="1" customWidth="1"/>
    <col min="4610" max="4610" width="11.44140625" style="10" bestFit="1" customWidth="1"/>
    <col min="4611" max="4848" width="11.44140625" style="10"/>
    <col min="4849" max="4849" width="119.88671875" style="10" bestFit="1" customWidth="1"/>
    <col min="4850" max="4850" width="12.88671875" style="10" bestFit="1" customWidth="1"/>
    <col min="4851" max="4851" width="10.88671875" style="10" bestFit="1" customWidth="1"/>
    <col min="4852" max="4854" width="11.88671875" style="10" bestFit="1" customWidth="1"/>
    <col min="4855" max="4855" width="14" style="10" bestFit="1" customWidth="1"/>
    <col min="4856" max="4856" width="12.5546875" style="10" bestFit="1" customWidth="1"/>
    <col min="4857" max="4857" width="12.109375" style="10" bestFit="1" customWidth="1"/>
    <col min="4858" max="4858" width="12.88671875" style="10" bestFit="1" customWidth="1"/>
    <col min="4859" max="4859" width="12" style="10" bestFit="1" customWidth="1"/>
    <col min="4860" max="4860" width="13.44140625" style="10" bestFit="1" customWidth="1"/>
    <col min="4861" max="4861" width="11.109375" style="10" bestFit="1" customWidth="1"/>
    <col min="4862" max="4862" width="12" style="10" bestFit="1" customWidth="1"/>
    <col min="4863" max="4865" width="11.109375" style="10" bestFit="1" customWidth="1"/>
    <col min="4866" max="4866" width="11.44140625" style="10" bestFit="1" customWidth="1"/>
    <col min="4867" max="5104" width="11.44140625" style="10"/>
    <col min="5105" max="5105" width="119.88671875" style="10" bestFit="1" customWidth="1"/>
    <col min="5106" max="5106" width="12.88671875" style="10" bestFit="1" customWidth="1"/>
    <col min="5107" max="5107" width="10.88671875" style="10" bestFit="1" customWidth="1"/>
    <col min="5108" max="5110" width="11.88671875" style="10" bestFit="1" customWidth="1"/>
    <col min="5111" max="5111" width="14" style="10" bestFit="1" customWidth="1"/>
    <col min="5112" max="5112" width="12.5546875" style="10" bestFit="1" customWidth="1"/>
    <col min="5113" max="5113" width="12.109375" style="10" bestFit="1" customWidth="1"/>
    <col min="5114" max="5114" width="12.88671875" style="10" bestFit="1" customWidth="1"/>
    <col min="5115" max="5115" width="12" style="10" bestFit="1" customWidth="1"/>
    <col min="5116" max="5116" width="13.44140625" style="10" bestFit="1" customWidth="1"/>
    <col min="5117" max="5117" width="11.109375" style="10" bestFit="1" customWidth="1"/>
    <col min="5118" max="5118" width="12" style="10" bestFit="1" customWidth="1"/>
    <col min="5119" max="5121" width="11.109375" style="10" bestFit="1" customWidth="1"/>
    <col min="5122" max="5122" width="11.44140625" style="10" bestFit="1" customWidth="1"/>
    <col min="5123" max="5360" width="11.44140625" style="10"/>
    <col min="5361" max="5361" width="119.88671875" style="10" bestFit="1" customWidth="1"/>
    <col min="5362" max="5362" width="12.88671875" style="10" bestFit="1" customWidth="1"/>
    <col min="5363" max="5363" width="10.88671875" style="10" bestFit="1" customWidth="1"/>
    <col min="5364" max="5366" width="11.88671875" style="10" bestFit="1" customWidth="1"/>
    <col min="5367" max="5367" width="14" style="10" bestFit="1" customWidth="1"/>
    <col min="5368" max="5368" width="12.5546875" style="10" bestFit="1" customWidth="1"/>
    <col min="5369" max="5369" width="12.109375" style="10" bestFit="1" customWidth="1"/>
    <col min="5370" max="5370" width="12.88671875" style="10" bestFit="1" customWidth="1"/>
    <col min="5371" max="5371" width="12" style="10" bestFit="1" customWidth="1"/>
    <col min="5372" max="5372" width="13.44140625" style="10" bestFit="1" customWidth="1"/>
    <col min="5373" max="5373" width="11.109375" style="10" bestFit="1" customWidth="1"/>
    <col min="5374" max="5374" width="12" style="10" bestFit="1" customWidth="1"/>
    <col min="5375" max="5377" width="11.109375" style="10" bestFit="1" customWidth="1"/>
    <col min="5378" max="5378" width="11.44140625" style="10" bestFit="1" customWidth="1"/>
    <col min="5379" max="5616" width="11.44140625" style="10"/>
    <col min="5617" max="5617" width="119.88671875" style="10" bestFit="1" customWidth="1"/>
    <col min="5618" max="5618" width="12.88671875" style="10" bestFit="1" customWidth="1"/>
    <col min="5619" max="5619" width="10.88671875" style="10" bestFit="1" customWidth="1"/>
    <col min="5620" max="5622" width="11.88671875" style="10" bestFit="1" customWidth="1"/>
    <col min="5623" max="5623" width="14" style="10" bestFit="1" customWidth="1"/>
    <col min="5624" max="5624" width="12.5546875" style="10" bestFit="1" customWidth="1"/>
    <col min="5625" max="5625" width="12.109375" style="10" bestFit="1" customWidth="1"/>
    <col min="5626" max="5626" width="12.88671875" style="10" bestFit="1" customWidth="1"/>
    <col min="5627" max="5627" width="12" style="10" bestFit="1" customWidth="1"/>
    <col min="5628" max="5628" width="13.44140625" style="10" bestFit="1" customWidth="1"/>
    <col min="5629" max="5629" width="11.109375" style="10" bestFit="1" customWidth="1"/>
    <col min="5630" max="5630" width="12" style="10" bestFit="1" customWidth="1"/>
    <col min="5631" max="5633" width="11.109375" style="10" bestFit="1" customWidth="1"/>
    <col min="5634" max="5634" width="11.44140625" style="10" bestFit="1" customWidth="1"/>
    <col min="5635" max="5872" width="11.44140625" style="10"/>
    <col min="5873" max="5873" width="119.88671875" style="10" bestFit="1" customWidth="1"/>
    <col min="5874" max="5874" width="12.88671875" style="10" bestFit="1" customWidth="1"/>
    <col min="5875" max="5875" width="10.88671875" style="10" bestFit="1" customWidth="1"/>
    <col min="5876" max="5878" width="11.88671875" style="10" bestFit="1" customWidth="1"/>
    <col min="5879" max="5879" width="14" style="10" bestFit="1" customWidth="1"/>
    <col min="5880" max="5880" width="12.5546875" style="10" bestFit="1" customWidth="1"/>
    <col min="5881" max="5881" width="12.109375" style="10" bestFit="1" customWidth="1"/>
    <col min="5882" max="5882" width="12.88671875" style="10" bestFit="1" customWidth="1"/>
    <col min="5883" max="5883" width="12" style="10" bestFit="1" customWidth="1"/>
    <col min="5884" max="5884" width="13.44140625" style="10" bestFit="1" customWidth="1"/>
    <col min="5885" max="5885" width="11.109375" style="10" bestFit="1" customWidth="1"/>
    <col min="5886" max="5886" width="12" style="10" bestFit="1" customWidth="1"/>
    <col min="5887" max="5889" width="11.109375" style="10" bestFit="1" customWidth="1"/>
    <col min="5890" max="5890" width="11.44140625" style="10" bestFit="1" customWidth="1"/>
    <col min="5891" max="6128" width="11.44140625" style="10"/>
    <col min="6129" max="6129" width="119.88671875" style="10" bestFit="1" customWidth="1"/>
    <col min="6130" max="6130" width="12.88671875" style="10" bestFit="1" customWidth="1"/>
    <col min="6131" max="6131" width="10.88671875" style="10" bestFit="1" customWidth="1"/>
    <col min="6132" max="6134" width="11.88671875" style="10" bestFit="1" customWidth="1"/>
    <col min="6135" max="6135" width="14" style="10" bestFit="1" customWidth="1"/>
    <col min="6136" max="6136" width="12.5546875" style="10" bestFit="1" customWidth="1"/>
    <col min="6137" max="6137" width="12.109375" style="10" bestFit="1" customWidth="1"/>
    <col min="6138" max="6138" width="12.88671875" style="10" bestFit="1" customWidth="1"/>
    <col min="6139" max="6139" width="12" style="10" bestFit="1" customWidth="1"/>
    <col min="6140" max="6140" width="13.44140625" style="10" bestFit="1" customWidth="1"/>
    <col min="6141" max="6141" width="11.109375" style="10" bestFit="1" customWidth="1"/>
    <col min="6142" max="6142" width="12" style="10" bestFit="1" customWidth="1"/>
    <col min="6143" max="6145" width="11.109375" style="10" bestFit="1" customWidth="1"/>
    <col min="6146" max="6146" width="11.44140625" style="10" bestFit="1" customWidth="1"/>
    <col min="6147" max="6384" width="11.44140625" style="10"/>
    <col min="6385" max="6385" width="119.88671875" style="10" bestFit="1" customWidth="1"/>
    <col min="6386" max="6386" width="12.88671875" style="10" bestFit="1" customWidth="1"/>
    <col min="6387" max="6387" width="10.88671875" style="10" bestFit="1" customWidth="1"/>
    <col min="6388" max="6390" width="11.88671875" style="10" bestFit="1" customWidth="1"/>
    <col min="6391" max="6391" width="14" style="10" bestFit="1" customWidth="1"/>
    <col min="6392" max="6392" width="12.5546875" style="10" bestFit="1" customWidth="1"/>
    <col min="6393" max="6393" width="12.109375" style="10" bestFit="1" customWidth="1"/>
    <col min="6394" max="6394" width="12.88671875" style="10" bestFit="1" customWidth="1"/>
    <col min="6395" max="6395" width="12" style="10" bestFit="1" customWidth="1"/>
    <col min="6396" max="6396" width="13.44140625" style="10" bestFit="1" customWidth="1"/>
    <col min="6397" max="6397" width="11.109375" style="10" bestFit="1" customWidth="1"/>
    <col min="6398" max="6398" width="12" style="10" bestFit="1" customWidth="1"/>
    <col min="6399" max="6401" width="11.109375" style="10" bestFit="1" customWidth="1"/>
    <col min="6402" max="6402" width="11.44140625" style="10" bestFit="1" customWidth="1"/>
    <col min="6403" max="6640" width="11.44140625" style="10"/>
    <col min="6641" max="6641" width="119.88671875" style="10" bestFit="1" customWidth="1"/>
    <col min="6642" max="6642" width="12.88671875" style="10" bestFit="1" customWidth="1"/>
    <col min="6643" max="6643" width="10.88671875" style="10" bestFit="1" customWidth="1"/>
    <col min="6644" max="6646" width="11.88671875" style="10" bestFit="1" customWidth="1"/>
    <col min="6647" max="6647" width="14" style="10" bestFit="1" customWidth="1"/>
    <col min="6648" max="6648" width="12.5546875" style="10" bestFit="1" customWidth="1"/>
    <col min="6649" max="6649" width="12.109375" style="10" bestFit="1" customWidth="1"/>
    <col min="6650" max="6650" width="12.88671875" style="10" bestFit="1" customWidth="1"/>
    <col min="6651" max="6651" width="12" style="10" bestFit="1" customWidth="1"/>
    <col min="6652" max="6652" width="13.44140625" style="10" bestFit="1" customWidth="1"/>
    <col min="6653" max="6653" width="11.109375" style="10" bestFit="1" customWidth="1"/>
    <col min="6654" max="6654" width="12" style="10" bestFit="1" customWidth="1"/>
    <col min="6655" max="6657" width="11.109375" style="10" bestFit="1" customWidth="1"/>
    <col min="6658" max="6658" width="11.44140625" style="10" bestFit="1" customWidth="1"/>
    <col min="6659" max="6896" width="11.44140625" style="10"/>
    <col min="6897" max="6897" width="119.88671875" style="10" bestFit="1" customWidth="1"/>
    <col min="6898" max="6898" width="12.88671875" style="10" bestFit="1" customWidth="1"/>
    <col min="6899" max="6899" width="10.88671875" style="10" bestFit="1" customWidth="1"/>
    <col min="6900" max="6902" width="11.88671875" style="10" bestFit="1" customWidth="1"/>
    <col min="6903" max="6903" width="14" style="10" bestFit="1" customWidth="1"/>
    <col min="6904" max="6904" width="12.5546875" style="10" bestFit="1" customWidth="1"/>
    <col min="6905" max="6905" width="12.109375" style="10" bestFit="1" customWidth="1"/>
    <col min="6906" max="6906" width="12.88671875" style="10" bestFit="1" customWidth="1"/>
    <col min="6907" max="6907" width="12" style="10" bestFit="1" customWidth="1"/>
    <col min="6908" max="6908" width="13.44140625" style="10" bestFit="1" customWidth="1"/>
    <col min="6909" max="6909" width="11.109375" style="10" bestFit="1" customWidth="1"/>
    <col min="6910" max="6910" width="12" style="10" bestFit="1" customWidth="1"/>
    <col min="6911" max="6913" width="11.109375" style="10" bestFit="1" customWidth="1"/>
    <col min="6914" max="6914" width="11.44140625" style="10" bestFit="1" customWidth="1"/>
    <col min="6915" max="7152" width="11.44140625" style="10"/>
    <col min="7153" max="7153" width="119.88671875" style="10" bestFit="1" customWidth="1"/>
    <col min="7154" max="7154" width="12.88671875" style="10" bestFit="1" customWidth="1"/>
    <col min="7155" max="7155" width="10.88671875" style="10" bestFit="1" customWidth="1"/>
    <col min="7156" max="7158" width="11.88671875" style="10" bestFit="1" customWidth="1"/>
    <col min="7159" max="7159" width="14" style="10" bestFit="1" customWidth="1"/>
    <col min="7160" max="7160" width="12.5546875" style="10" bestFit="1" customWidth="1"/>
    <col min="7161" max="7161" width="12.109375" style="10" bestFit="1" customWidth="1"/>
    <col min="7162" max="7162" width="12.88671875" style="10" bestFit="1" customWidth="1"/>
    <col min="7163" max="7163" width="12" style="10" bestFit="1" customWidth="1"/>
    <col min="7164" max="7164" width="13.44140625" style="10" bestFit="1" customWidth="1"/>
    <col min="7165" max="7165" width="11.109375" style="10" bestFit="1" customWidth="1"/>
    <col min="7166" max="7166" width="12" style="10" bestFit="1" customWidth="1"/>
    <col min="7167" max="7169" width="11.109375" style="10" bestFit="1" customWidth="1"/>
    <col min="7170" max="7170" width="11.44140625" style="10" bestFit="1" customWidth="1"/>
    <col min="7171" max="7408" width="11.44140625" style="10"/>
    <col min="7409" max="7409" width="119.88671875" style="10" bestFit="1" customWidth="1"/>
    <col min="7410" max="7410" width="12.88671875" style="10" bestFit="1" customWidth="1"/>
    <col min="7411" max="7411" width="10.88671875" style="10" bestFit="1" customWidth="1"/>
    <col min="7412" max="7414" width="11.88671875" style="10" bestFit="1" customWidth="1"/>
    <col min="7415" max="7415" width="14" style="10" bestFit="1" customWidth="1"/>
    <col min="7416" max="7416" width="12.5546875" style="10" bestFit="1" customWidth="1"/>
    <col min="7417" max="7417" width="12.109375" style="10" bestFit="1" customWidth="1"/>
    <col min="7418" max="7418" width="12.88671875" style="10" bestFit="1" customWidth="1"/>
    <col min="7419" max="7419" width="12" style="10" bestFit="1" customWidth="1"/>
    <col min="7420" max="7420" width="13.44140625" style="10" bestFit="1" customWidth="1"/>
    <col min="7421" max="7421" width="11.109375" style="10" bestFit="1" customWidth="1"/>
    <col min="7422" max="7422" width="12" style="10" bestFit="1" customWidth="1"/>
    <col min="7423" max="7425" width="11.109375" style="10" bestFit="1" customWidth="1"/>
    <col min="7426" max="7426" width="11.44140625" style="10" bestFit="1" customWidth="1"/>
    <col min="7427" max="7664" width="11.44140625" style="10"/>
    <col min="7665" max="7665" width="119.88671875" style="10" bestFit="1" customWidth="1"/>
    <col min="7666" max="7666" width="12.88671875" style="10" bestFit="1" customWidth="1"/>
    <col min="7667" max="7667" width="10.88671875" style="10" bestFit="1" customWidth="1"/>
    <col min="7668" max="7670" width="11.88671875" style="10" bestFit="1" customWidth="1"/>
    <col min="7671" max="7671" width="14" style="10" bestFit="1" customWidth="1"/>
    <col min="7672" max="7672" width="12.5546875" style="10" bestFit="1" customWidth="1"/>
    <col min="7673" max="7673" width="12.109375" style="10" bestFit="1" customWidth="1"/>
    <col min="7674" max="7674" width="12.88671875" style="10" bestFit="1" customWidth="1"/>
    <col min="7675" max="7675" width="12" style="10" bestFit="1" customWidth="1"/>
    <col min="7676" max="7676" width="13.44140625" style="10" bestFit="1" customWidth="1"/>
    <col min="7677" max="7677" width="11.109375" style="10" bestFit="1" customWidth="1"/>
    <col min="7678" max="7678" width="12" style="10" bestFit="1" customWidth="1"/>
    <col min="7679" max="7681" width="11.109375" style="10" bestFit="1" customWidth="1"/>
    <col min="7682" max="7682" width="11.44140625" style="10" bestFit="1" customWidth="1"/>
    <col min="7683" max="7920" width="11.44140625" style="10"/>
    <col min="7921" max="7921" width="119.88671875" style="10" bestFit="1" customWidth="1"/>
    <col min="7922" max="7922" width="12.88671875" style="10" bestFit="1" customWidth="1"/>
    <col min="7923" max="7923" width="10.88671875" style="10" bestFit="1" customWidth="1"/>
    <col min="7924" max="7926" width="11.88671875" style="10" bestFit="1" customWidth="1"/>
    <col min="7927" max="7927" width="14" style="10" bestFit="1" customWidth="1"/>
    <col min="7928" max="7928" width="12.5546875" style="10" bestFit="1" customWidth="1"/>
    <col min="7929" max="7929" width="12.109375" style="10" bestFit="1" customWidth="1"/>
    <col min="7930" max="7930" width="12.88671875" style="10" bestFit="1" customWidth="1"/>
    <col min="7931" max="7931" width="12" style="10" bestFit="1" customWidth="1"/>
    <col min="7932" max="7932" width="13.44140625" style="10" bestFit="1" customWidth="1"/>
    <col min="7933" max="7933" width="11.109375" style="10" bestFit="1" customWidth="1"/>
    <col min="7934" max="7934" width="12" style="10" bestFit="1" customWidth="1"/>
    <col min="7935" max="7937" width="11.109375" style="10" bestFit="1" customWidth="1"/>
    <col min="7938" max="7938" width="11.44140625" style="10" bestFit="1" customWidth="1"/>
    <col min="7939" max="8176" width="11.44140625" style="10"/>
    <col min="8177" max="8177" width="119.88671875" style="10" bestFit="1" customWidth="1"/>
    <col min="8178" max="8178" width="12.88671875" style="10" bestFit="1" customWidth="1"/>
    <col min="8179" max="8179" width="10.88671875" style="10" bestFit="1" customWidth="1"/>
    <col min="8180" max="8182" width="11.88671875" style="10" bestFit="1" customWidth="1"/>
    <col min="8183" max="8183" width="14" style="10" bestFit="1" customWidth="1"/>
    <col min="8184" max="8184" width="12.5546875" style="10" bestFit="1" customWidth="1"/>
    <col min="8185" max="8185" width="12.109375" style="10" bestFit="1" customWidth="1"/>
    <col min="8186" max="8186" width="12.88671875" style="10" bestFit="1" customWidth="1"/>
    <col min="8187" max="8187" width="12" style="10" bestFit="1" customWidth="1"/>
    <col min="8188" max="8188" width="13.44140625" style="10" bestFit="1" customWidth="1"/>
    <col min="8189" max="8189" width="11.109375" style="10" bestFit="1" customWidth="1"/>
    <col min="8190" max="8190" width="12" style="10" bestFit="1" customWidth="1"/>
    <col min="8191" max="8193" width="11.109375" style="10" bestFit="1" customWidth="1"/>
    <col min="8194" max="8194" width="11.44140625" style="10" bestFit="1" customWidth="1"/>
    <col min="8195" max="8432" width="11.44140625" style="10"/>
    <col min="8433" max="8433" width="119.88671875" style="10" bestFit="1" customWidth="1"/>
    <col min="8434" max="8434" width="12.88671875" style="10" bestFit="1" customWidth="1"/>
    <col min="8435" max="8435" width="10.88671875" style="10" bestFit="1" customWidth="1"/>
    <col min="8436" max="8438" width="11.88671875" style="10" bestFit="1" customWidth="1"/>
    <col min="8439" max="8439" width="14" style="10" bestFit="1" customWidth="1"/>
    <col min="8440" max="8440" width="12.5546875" style="10" bestFit="1" customWidth="1"/>
    <col min="8441" max="8441" width="12.109375" style="10" bestFit="1" customWidth="1"/>
    <col min="8442" max="8442" width="12.88671875" style="10" bestFit="1" customWidth="1"/>
    <col min="8443" max="8443" width="12" style="10" bestFit="1" customWidth="1"/>
    <col min="8444" max="8444" width="13.44140625" style="10" bestFit="1" customWidth="1"/>
    <col min="8445" max="8445" width="11.109375" style="10" bestFit="1" customWidth="1"/>
    <col min="8446" max="8446" width="12" style="10" bestFit="1" customWidth="1"/>
    <col min="8447" max="8449" width="11.109375" style="10" bestFit="1" customWidth="1"/>
    <col min="8450" max="8450" width="11.44140625" style="10" bestFit="1" customWidth="1"/>
    <col min="8451" max="8688" width="11.44140625" style="10"/>
    <col min="8689" max="8689" width="119.88671875" style="10" bestFit="1" customWidth="1"/>
    <col min="8690" max="8690" width="12.88671875" style="10" bestFit="1" customWidth="1"/>
    <col min="8691" max="8691" width="10.88671875" style="10" bestFit="1" customWidth="1"/>
    <col min="8692" max="8694" width="11.88671875" style="10" bestFit="1" customWidth="1"/>
    <col min="8695" max="8695" width="14" style="10" bestFit="1" customWidth="1"/>
    <col min="8696" max="8696" width="12.5546875" style="10" bestFit="1" customWidth="1"/>
    <col min="8697" max="8697" width="12.109375" style="10" bestFit="1" customWidth="1"/>
    <col min="8698" max="8698" width="12.88671875" style="10" bestFit="1" customWidth="1"/>
    <col min="8699" max="8699" width="12" style="10" bestFit="1" customWidth="1"/>
    <col min="8700" max="8700" width="13.44140625" style="10" bestFit="1" customWidth="1"/>
    <col min="8701" max="8701" width="11.109375" style="10" bestFit="1" customWidth="1"/>
    <col min="8702" max="8702" width="12" style="10" bestFit="1" customWidth="1"/>
    <col min="8703" max="8705" width="11.109375" style="10" bestFit="1" customWidth="1"/>
    <col min="8706" max="8706" width="11.44140625" style="10" bestFit="1" customWidth="1"/>
    <col min="8707" max="8944" width="11.44140625" style="10"/>
    <col min="8945" max="8945" width="119.88671875" style="10" bestFit="1" customWidth="1"/>
    <col min="8946" max="8946" width="12.88671875" style="10" bestFit="1" customWidth="1"/>
    <col min="8947" max="8947" width="10.88671875" style="10" bestFit="1" customWidth="1"/>
    <col min="8948" max="8950" width="11.88671875" style="10" bestFit="1" customWidth="1"/>
    <col min="8951" max="8951" width="14" style="10" bestFit="1" customWidth="1"/>
    <col min="8952" max="8952" width="12.5546875" style="10" bestFit="1" customWidth="1"/>
    <col min="8953" max="8953" width="12.109375" style="10" bestFit="1" customWidth="1"/>
    <col min="8954" max="8954" width="12.88671875" style="10" bestFit="1" customWidth="1"/>
    <col min="8955" max="8955" width="12" style="10" bestFit="1" customWidth="1"/>
    <col min="8956" max="8956" width="13.44140625" style="10" bestFit="1" customWidth="1"/>
    <col min="8957" max="8957" width="11.109375" style="10" bestFit="1" customWidth="1"/>
    <col min="8958" max="8958" width="12" style="10" bestFit="1" customWidth="1"/>
    <col min="8959" max="8961" width="11.109375" style="10" bestFit="1" customWidth="1"/>
    <col min="8962" max="8962" width="11.44140625" style="10" bestFit="1" customWidth="1"/>
    <col min="8963" max="9200" width="11.44140625" style="10"/>
    <col min="9201" max="9201" width="119.88671875" style="10" bestFit="1" customWidth="1"/>
    <col min="9202" max="9202" width="12.88671875" style="10" bestFit="1" customWidth="1"/>
    <col min="9203" max="9203" width="10.88671875" style="10" bestFit="1" customWidth="1"/>
    <col min="9204" max="9206" width="11.88671875" style="10" bestFit="1" customWidth="1"/>
    <col min="9207" max="9207" width="14" style="10" bestFit="1" customWidth="1"/>
    <col min="9208" max="9208" width="12.5546875" style="10" bestFit="1" customWidth="1"/>
    <col min="9209" max="9209" width="12.109375" style="10" bestFit="1" customWidth="1"/>
    <col min="9210" max="9210" width="12.88671875" style="10" bestFit="1" customWidth="1"/>
    <col min="9211" max="9211" width="12" style="10" bestFit="1" customWidth="1"/>
    <col min="9212" max="9212" width="13.44140625" style="10" bestFit="1" customWidth="1"/>
    <col min="9213" max="9213" width="11.109375" style="10" bestFit="1" customWidth="1"/>
    <col min="9214" max="9214" width="12" style="10" bestFit="1" customWidth="1"/>
    <col min="9215" max="9217" width="11.109375" style="10" bestFit="1" customWidth="1"/>
    <col min="9218" max="9218" width="11.44140625" style="10" bestFit="1" customWidth="1"/>
    <col min="9219" max="9456" width="11.44140625" style="10"/>
    <col min="9457" max="9457" width="119.88671875" style="10" bestFit="1" customWidth="1"/>
    <col min="9458" max="9458" width="12.88671875" style="10" bestFit="1" customWidth="1"/>
    <col min="9459" max="9459" width="10.88671875" style="10" bestFit="1" customWidth="1"/>
    <col min="9460" max="9462" width="11.88671875" style="10" bestFit="1" customWidth="1"/>
    <col min="9463" max="9463" width="14" style="10" bestFit="1" customWidth="1"/>
    <col min="9464" max="9464" width="12.5546875" style="10" bestFit="1" customWidth="1"/>
    <col min="9465" max="9465" width="12.109375" style="10" bestFit="1" customWidth="1"/>
    <col min="9466" max="9466" width="12.88671875" style="10" bestFit="1" customWidth="1"/>
    <col min="9467" max="9467" width="12" style="10" bestFit="1" customWidth="1"/>
    <col min="9468" max="9468" width="13.44140625" style="10" bestFit="1" customWidth="1"/>
    <col min="9469" max="9469" width="11.109375" style="10" bestFit="1" customWidth="1"/>
    <col min="9470" max="9470" width="12" style="10" bestFit="1" customWidth="1"/>
    <col min="9471" max="9473" width="11.109375" style="10" bestFit="1" customWidth="1"/>
    <col min="9474" max="9474" width="11.44140625" style="10" bestFit="1" customWidth="1"/>
    <col min="9475" max="9712" width="11.44140625" style="10"/>
    <col min="9713" max="9713" width="119.88671875" style="10" bestFit="1" customWidth="1"/>
    <col min="9714" max="9714" width="12.88671875" style="10" bestFit="1" customWidth="1"/>
    <col min="9715" max="9715" width="10.88671875" style="10" bestFit="1" customWidth="1"/>
    <col min="9716" max="9718" width="11.88671875" style="10" bestFit="1" customWidth="1"/>
    <col min="9719" max="9719" width="14" style="10" bestFit="1" customWidth="1"/>
    <col min="9720" max="9720" width="12.5546875" style="10" bestFit="1" customWidth="1"/>
    <col min="9721" max="9721" width="12.109375" style="10" bestFit="1" customWidth="1"/>
    <col min="9722" max="9722" width="12.88671875" style="10" bestFit="1" customWidth="1"/>
    <col min="9723" max="9723" width="12" style="10" bestFit="1" customWidth="1"/>
    <col min="9724" max="9724" width="13.44140625" style="10" bestFit="1" customWidth="1"/>
    <col min="9725" max="9725" width="11.109375" style="10" bestFit="1" customWidth="1"/>
    <col min="9726" max="9726" width="12" style="10" bestFit="1" customWidth="1"/>
    <col min="9727" max="9729" width="11.109375" style="10" bestFit="1" customWidth="1"/>
    <col min="9730" max="9730" width="11.44140625" style="10" bestFit="1" customWidth="1"/>
    <col min="9731" max="9968" width="11.44140625" style="10"/>
    <col min="9969" max="9969" width="119.88671875" style="10" bestFit="1" customWidth="1"/>
    <col min="9970" max="9970" width="12.88671875" style="10" bestFit="1" customWidth="1"/>
    <col min="9971" max="9971" width="10.88671875" style="10" bestFit="1" customWidth="1"/>
    <col min="9972" max="9974" width="11.88671875" style="10" bestFit="1" customWidth="1"/>
    <col min="9975" max="9975" width="14" style="10" bestFit="1" customWidth="1"/>
    <col min="9976" max="9976" width="12.5546875" style="10" bestFit="1" customWidth="1"/>
    <col min="9977" max="9977" width="12.109375" style="10" bestFit="1" customWidth="1"/>
    <col min="9978" max="9978" width="12.88671875" style="10" bestFit="1" customWidth="1"/>
    <col min="9979" max="9979" width="12" style="10" bestFit="1" customWidth="1"/>
    <col min="9980" max="9980" width="13.44140625" style="10" bestFit="1" customWidth="1"/>
    <col min="9981" max="9981" width="11.109375" style="10" bestFit="1" customWidth="1"/>
    <col min="9982" max="9982" width="12" style="10" bestFit="1" customWidth="1"/>
    <col min="9983" max="9985" width="11.109375" style="10" bestFit="1" customWidth="1"/>
    <col min="9986" max="9986" width="11.44140625" style="10" bestFit="1" customWidth="1"/>
    <col min="9987" max="10224" width="11.44140625" style="10"/>
    <col min="10225" max="10225" width="119.88671875" style="10" bestFit="1" customWidth="1"/>
    <col min="10226" max="10226" width="12.88671875" style="10" bestFit="1" customWidth="1"/>
    <col min="10227" max="10227" width="10.88671875" style="10" bestFit="1" customWidth="1"/>
    <col min="10228" max="10230" width="11.88671875" style="10" bestFit="1" customWidth="1"/>
    <col min="10231" max="10231" width="14" style="10" bestFit="1" customWidth="1"/>
    <col min="10232" max="10232" width="12.5546875" style="10" bestFit="1" customWidth="1"/>
    <col min="10233" max="10233" width="12.109375" style="10" bestFit="1" customWidth="1"/>
    <col min="10234" max="10234" width="12.88671875" style="10" bestFit="1" customWidth="1"/>
    <col min="10235" max="10235" width="12" style="10" bestFit="1" customWidth="1"/>
    <col min="10236" max="10236" width="13.44140625" style="10" bestFit="1" customWidth="1"/>
    <col min="10237" max="10237" width="11.109375" style="10" bestFit="1" customWidth="1"/>
    <col min="10238" max="10238" width="12" style="10" bestFit="1" customWidth="1"/>
    <col min="10239" max="10241" width="11.109375" style="10" bestFit="1" customWidth="1"/>
    <col min="10242" max="10242" width="11.44140625" style="10" bestFit="1" customWidth="1"/>
    <col min="10243" max="10480" width="11.44140625" style="10"/>
    <col min="10481" max="10481" width="119.88671875" style="10" bestFit="1" customWidth="1"/>
    <col min="10482" max="10482" width="12.88671875" style="10" bestFit="1" customWidth="1"/>
    <col min="10483" max="10483" width="10.88671875" style="10" bestFit="1" customWidth="1"/>
    <col min="10484" max="10486" width="11.88671875" style="10" bestFit="1" customWidth="1"/>
    <col min="10487" max="10487" width="14" style="10" bestFit="1" customWidth="1"/>
    <col min="10488" max="10488" width="12.5546875" style="10" bestFit="1" customWidth="1"/>
    <col min="10489" max="10489" width="12.109375" style="10" bestFit="1" customWidth="1"/>
    <col min="10490" max="10490" width="12.88671875" style="10" bestFit="1" customWidth="1"/>
    <col min="10491" max="10491" width="12" style="10" bestFit="1" customWidth="1"/>
    <col min="10492" max="10492" width="13.44140625" style="10" bestFit="1" customWidth="1"/>
    <col min="10493" max="10493" width="11.109375" style="10" bestFit="1" customWidth="1"/>
    <col min="10494" max="10494" width="12" style="10" bestFit="1" customWidth="1"/>
    <col min="10495" max="10497" width="11.109375" style="10" bestFit="1" customWidth="1"/>
    <col min="10498" max="10498" width="11.44140625" style="10" bestFit="1" customWidth="1"/>
    <col min="10499" max="10736" width="11.44140625" style="10"/>
    <col min="10737" max="10737" width="119.88671875" style="10" bestFit="1" customWidth="1"/>
    <col min="10738" max="10738" width="12.88671875" style="10" bestFit="1" customWidth="1"/>
    <col min="10739" max="10739" width="10.88671875" style="10" bestFit="1" customWidth="1"/>
    <col min="10740" max="10742" width="11.88671875" style="10" bestFit="1" customWidth="1"/>
    <col min="10743" max="10743" width="14" style="10" bestFit="1" customWidth="1"/>
    <col min="10744" max="10744" width="12.5546875" style="10" bestFit="1" customWidth="1"/>
    <col min="10745" max="10745" width="12.109375" style="10" bestFit="1" customWidth="1"/>
    <col min="10746" max="10746" width="12.88671875" style="10" bestFit="1" customWidth="1"/>
    <col min="10747" max="10747" width="12" style="10" bestFit="1" customWidth="1"/>
    <col min="10748" max="10748" width="13.44140625" style="10" bestFit="1" customWidth="1"/>
    <col min="10749" max="10749" width="11.109375" style="10" bestFit="1" customWidth="1"/>
    <col min="10750" max="10750" width="12" style="10" bestFit="1" customWidth="1"/>
    <col min="10751" max="10753" width="11.109375" style="10" bestFit="1" customWidth="1"/>
    <col min="10754" max="10754" width="11.44140625" style="10" bestFit="1" customWidth="1"/>
    <col min="10755" max="10992" width="11.44140625" style="10"/>
    <col min="10993" max="10993" width="119.88671875" style="10" bestFit="1" customWidth="1"/>
    <col min="10994" max="10994" width="12.88671875" style="10" bestFit="1" customWidth="1"/>
    <col min="10995" max="10995" width="10.88671875" style="10" bestFit="1" customWidth="1"/>
    <col min="10996" max="10998" width="11.88671875" style="10" bestFit="1" customWidth="1"/>
    <col min="10999" max="10999" width="14" style="10" bestFit="1" customWidth="1"/>
    <col min="11000" max="11000" width="12.5546875" style="10" bestFit="1" customWidth="1"/>
    <col min="11001" max="11001" width="12.109375" style="10" bestFit="1" customWidth="1"/>
    <col min="11002" max="11002" width="12.88671875" style="10" bestFit="1" customWidth="1"/>
    <col min="11003" max="11003" width="12" style="10" bestFit="1" customWidth="1"/>
    <col min="11004" max="11004" width="13.44140625" style="10" bestFit="1" customWidth="1"/>
    <col min="11005" max="11005" width="11.109375" style="10" bestFit="1" customWidth="1"/>
    <col min="11006" max="11006" width="12" style="10" bestFit="1" customWidth="1"/>
    <col min="11007" max="11009" width="11.109375" style="10" bestFit="1" customWidth="1"/>
    <col min="11010" max="11010" width="11.44140625" style="10" bestFit="1" customWidth="1"/>
    <col min="11011" max="11248" width="11.44140625" style="10"/>
    <col min="11249" max="11249" width="119.88671875" style="10" bestFit="1" customWidth="1"/>
    <col min="11250" max="11250" width="12.88671875" style="10" bestFit="1" customWidth="1"/>
    <col min="11251" max="11251" width="10.88671875" style="10" bestFit="1" customWidth="1"/>
    <col min="11252" max="11254" width="11.88671875" style="10" bestFit="1" customWidth="1"/>
    <col min="11255" max="11255" width="14" style="10" bestFit="1" customWidth="1"/>
    <col min="11256" max="11256" width="12.5546875" style="10" bestFit="1" customWidth="1"/>
    <col min="11257" max="11257" width="12.109375" style="10" bestFit="1" customWidth="1"/>
    <col min="11258" max="11258" width="12.88671875" style="10" bestFit="1" customWidth="1"/>
    <col min="11259" max="11259" width="12" style="10" bestFit="1" customWidth="1"/>
    <col min="11260" max="11260" width="13.44140625" style="10" bestFit="1" customWidth="1"/>
    <col min="11261" max="11261" width="11.109375" style="10" bestFit="1" customWidth="1"/>
    <col min="11262" max="11262" width="12" style="10" bestFit="1" customWidth="1"/>
    <col min="11263" max="11265" width="11.109375" style="10" bestFit="1" customWidth="1"/>
    <col min="11266" max="11266" width="11.44140625" style="10" bestFit="1" customWidth="1"/>
    <col min="11267" max="11504" width="11.44140625" style="10"/>
    <col min="11505" max="11505" width="119.88671875" style="10" bestFit="1" customWidth="1"/>
    <col min="11506" max="11506" width="12.88671875" style="10" bestFit="1" customWidth="1"/>
    <col min="11507" max="11507" width="10.88671875" style="10" bestFit="1" customWidth="1"/>
    <col min="11508" max="11510" width="11.88671875" style="10" bestFit="1" customWidth="1"/>
    <col min="11511" max="11511" width="14" style="10" bestFit="1" customWidth="1"/>
    <col min="11512" max="11512" width="12.5546875" style="10" bestFit="1" customWidth="1"/>
    <col min="11513" max="11513" width="12.109375" style="10" bestFit="1" customWidth="1"/>
    <col min="11514" max="11514" width="12.88671875" style="10" bestFit="1" customWidth="1"/>
    <col min="11515" max="11515" width="12" style="10" bestFit="1" customWidth="1"/>
    <col min="11516" max="11516" width="13.44140625" style="10" bestFit="1" customWidth="1"/>
    <col min="11517" max="11517" width="11.109375" style="10" bestFit="1" customWidth="1"/>
    <col min="11518" max="11518" width="12" style="10" bestFit="1" customWidth="1"/>
    <col min="11519" max="11521" width="11.109375" style="10" bestFit="1" customWidth="1"/>
    <col min="11522" max="11522" width="11.44140625" style="10" bestFit="1" customWidth="1"/>
    <col min="11523" max="11760" width="11.44140625" style="10"/>
    <col min="11761" max="11761" width="119.88671875" style="10" bestFit="1" customWidth="1"/>
    <col min="11762" max="11762" width="12.88671875" style="10" bestFit="1" customWidth="1"/>
    <col min="11763" max="11763" width="10.88671875" style="10" bestFit="1" customWidth="1"/>
    <col min="11764" max="11766" width="11.88671875" style="10" bestFit="1" customWidth="1"/>
    <col min="11767" max="11767" width="14" style="10" bestFit="1" customWidth="1"/>
    <col min="11768" max="11768" width="12.5546875" style="10" bestFit="1" customWidth="1"/>
    <col min="11769" max="11769" width="12.109375" style="10" bestFit="1" customWidth="1"/>
    <col min="11770" max="11770" width="12.88671875" style="10" bestFit="1" customWidth="1"/>
    <col min="11771" max="11771" width="12" style="10" bestFit="1" customWidth="1"/>
    <col min="11772" max="11772" width="13.44140625" style="10" bestFit="1" customWidth="1"/>
    <col min="11773" max="11773" width="11.109375" style="10" bestFit="1" customWidth="1"/>
    <col min="11774" max="11774" width="12" style="10" bestFit="1" customWidth="1"/>
    <col min="11775" max="11777" width="11.109375" style="10" bestFit="1" customWidth="1"/>
    <col min="11778" max="11778" width="11.44140625" style="10" bestFit="1" customWidth="1"/>
    <col min="11779" max="12016" width="11.44140625" style="10"/>
    <col min="12017" max="12017" width="119.88671875" style="10" bestFit="1" customWidth="1"/>
    <col min="12018" max="12018" width="12.88671875" style="10" bestFit="1" customWidth="1"/>
    <col min="12019" max="12019" width="10.88671875" style="10" bestFit="1" customWidth="1"/>
    <col min="12020" max="12022" width="11.88671875" style="10" bestFit="1" customWidth="1"/>
    <col min="12023" max="12023" width="14" style="10" bestFit="1" customWidth="1"/>
    <col min="12024" max="12024" width="12.5546875" style="10" bestFit="1" customWidth="1"/>
    <col min="12025" max="12025" width="12.109375" style="10" bestFit="1" customWidth="1"/>
    <col min="12026" max="12026" width="12.88671875" style="10" bestFit="1" customWidth="1"/>
    <col min="12027" max="12027" width="12" style="10" bestFit="1" customWidth="1"/>
    <col min="12028" max="12028" width="13.44140625" style="10" bestFit="1" customWidth="1"/>
    <col min="12029" max="12029" width="11.109375" style="10" bestFit="1" customWidth="1"/>
    <col min="12030" max="12030" width="12" style="10" bestFit="1" customWidth="1"/>
    <col min="12031" max="12033" width="11.109375" style="10" bestFit="1" customWidth="1"/>
    <col min="12034" max="12034" width="11.44140625" style="10" bestFit="1" customWidth="1"/>
    <col min="12035" max="12272" width="11.44140625" style="10"/>
    <col min="12273" max="12273" width="119.88671875" style="10" bestFit="1" customWidth="1"/>
    <col min="12274" max="12274" width="12.88671875" style="10" bestFit="1" customWidth="1"/>
    <col min="12275" max="12275" width="10.88671875" style="10" bestFit="1" customWidth="1"/>
    <col min="12276" max="12278" width="11.88671875" style="10" bestFit="1" customWidth="1"/>
    <col min="12279" max="12279" width="14" style="10" bestFit="1" customWidth="1"/>
    <col min="12280" max="12280" width="12.5546875" style="10" bestFit="1" customWidth="1"/>
    <col min="12281" max="12281" width="12.109375" style="10" bestFit="1" customWidth="1"/>
    <col min="12282" max="12282" width="12.88671875" style="10" bestFit="1" customWidth="1"/>
    <col min="12283" max="12283" width="12" style="10" bestFit="1" customWidth="1"/>
    <col min="12284" max="12284" width="13.44140625" style="10" bestFit="1" customWidth="1"/>
    <col min="12285" max="12285" width="11.109375" style="10" bestFit="1" customWidth="1"/>
    <col min="12286" max="12286" width="12" style="10" bestFit="1" customWidth="1"/>
    <col min="12287" max="12289" width="11.109375" style="10" bestFit="1" customWidth="1"/>
    <col min="12290" max="12290" width="11.44140625" style="10" bestFit="1" customWidth="1"/>
    <col min="12291" max="12528" width="11.44140625" style="10"/>
    <col min="12529" max="12529" width="119.88671875" style="10" bestFit="1" customWidth="1"/>
    <col min="12530" max="12530" width="12.88671875" style="10" bestFit="1" customWidth="1"/>
    <col min="12531" max="12531" width="10.88671875" style="10" bestFit="1" customWidth="1"/>
    <col min="12532" max="12534" width="11.88671875" style="10" bestFit="1" customWidth="1"/>
    <col min="12535" max="12535" width="14" style="10" bestFit="1" customWidth="1"/>
    <col min="12536" max="12536" width="12.5546875" style="10" bestFit="1" customWidth="1"/>
    <col min="12537" max="12537" width="12.109375" style="10" bestFit="1" customWidth="1"/>
    <col min="12538" max="12538" width="12.88671875" style="10" bestFit="1" customWidth="1"/>
    <col min="12539" max="12539" width="12" style="10" bestFit="1" customWidth="1"/>
    <col min="12540" max="12540" width="13.44140625" style="10" bestFit="1" customWidth="1"/>
    <col min="12541" max="12541" width="11.109375" style="10" bestFit="1" customWidth="1"/>
    <col min="12542" max="12542" width="12" style="10" bestFit="1" customWidth="1"/>
    <col min="12543" max="12545" width="11.109375" style="10" bestFit="1" customWidth="1"/>
    <col min="12546" max="12546" width="11.44140625" style="10" bestFit="1" customWidth="1"/>
    <col min="12547" max="12784" width="11.44140625" style="10"/>
    <col min="12785" max="12785" width="119.88671875" style="10" bestFit="1" customWidth="1"/>
    <col min="12786" max="12786" width="12.88671875" style="10" bestFit="1" customWidth="1"/>
    <col min="12787" max="12787" width="10.88671875" style="10" bestFit="1" customWidth="1"/>
    <col min="12788" max="12790" width="11.88671875" style="10" bestFit="1" customWidth="1"/>
    <col min="12791" max="12791" width="14" style="10" bestFit="1" customWidth="1"/>
    <col min="12792" max="12792" width="12.5546875" style="10" bestFit="1" customWidth="1"/>
    <col min="12793" max="12793" width="12.109375" style="10" bestFit="1" customWidth="1"/>
    <col min="12794" max="12794" width="12.88671875" style="10" bestFit="1" customWidth="1"/>
    <col min="12795" max="12795" width="12" style="10" bestFit="1" customWidth="1"/>
    <col min="12796" max="12796" width="13.44140625" style="10" bestFit="1" customWidth="1"/>
    <col min="12797" max="12797" width="11.109375" style="10" bestFit="1" customWidth="1"/>
    <col min="12798" max="12798" width="12" style="10" bestFit="1" customWidth="1"/>
    <col min="12799" max="12801" width="11.109375" style="10" bestFit="1" customWidth="1"/>
    <col min="12802" max="12802" width="11.44140625" style="10" bestFit="1" customWidth="1"/>
    <col min="12803" max="13040" width="11.44140625" style="10"/>
    <col min="13041" max="13041" width="119.88671875" style="10" bestFit="1" customWidth="1"/>
    <col min="13042" max="13042" width="12.88671875" style="10" bestFit="1" customWidth="1"/>
    <col min="13043" max="13043" width="10.88671875" style="10" bestFit="1" customWidth="1"/>
    <col min="13044" max="13046" width="11.88671875" style="10" bestFit="1" customWidth="1"/>
    <col min="13047" max="13047" width="14" style="10" bestFit="1" customWidth="1"/>
    <col min="13048" max="13048" width="12.5546875" style="10" bestFit="1" customWidth="1"/>
    <col min="13049" max="13049" width="12.109375" style="10" bestFit="1" customWidth="1"/>
    <col min="13050" max="13050" width="12.88671875" style="10" bestFit="1" customWidth="1"/>
    <col min="13051" max="13051" width="12" style="10" bestFit="1" customWidth="1"/>
    <col min="13052" max="13052" width="13.44140625" style="10" bestFit="1" customWidth="1"/>
    <col min="13053" max="13053" width="11.109375" style="10" bestFit="1" customWidth="1"/>
    <col min="13054" max="13054" width="12" style="10" bestFit="1" customWidth="1"/>
    <col min="13055" max="13057" width="11.109375" style="10" bestFit="1" customWidth="1"/>
    <col min="13058" max="13058" width="11.44140625" style="10" bestFit="1" customWidth="1"/>
    <col min="13059" max="13296" width="11.44140625" style="10"/>
    <col min="13297" max="13297" width="119.88671875" style="10" bestFit="1" customWidth="1"/>
    <col min="13298" max="13298" width="12.88671875" style="10" bestFit="1" customWidth="1"/>
    <col min="13299" max="13299" width="10.88671875" style="10" bestFit="1" customWidth="1"/>
    <col min="13300" max="13302" width="11.88671875" style="10" bestFit="1" customWidth="1"/>
    <col min="13303" max="13303" width="14" style="10" bestFit="1" customWidth="1"/>
    <col min="13304" max="13304" width="12.5546875" style="10" bestFit="1" customWidth="1"/>
    <col min="13305" max="13305" width="12.109375" style="10" bestFit="1" customWidth="1"/>
    <col min="13306" max="13306" width="12.88671875" style="10" bestFit="1" customWidth="1"/>
    <col min="13307" max="13307" width="12" style="10" bestFit="1" customWidth="1"/>
    <col min="13308" max="13308" width="13.44140625" style="10" bestFit="1" customWidth="1"/>
    <col min="13309" max="13309" width="11.109375" style="10" bestFit="1" customWidth="1"/>
    <col min="13310" max="13310" width="12" style="10" bestFit="1" customWidth="1"/>
    <col min="13311" max="13313" width="11.109375" style="10" bestFit="1" customWidth="1"/>
    <col min="13314" max="13314" width="11.44140625" style="10" bestFit="1" customWidth="1"/>
    <col min="13315" max="13552" width="11.44140625" style="10"/>
    <col min="13553" max="13553" width="119.88671875" style="10" bestFit="1" customWidth="1"/>
    <col min="13554" max="13554" width="12.88671875" style="10" bestFit="1" customWidth="1"/>
    <col min="13555" max="13555" width="10.88671875" style="10" bestFit="1" customWidth="1"/>
    <col min="13556" max="13558" width="11.88671875" style="10" bestFit="1" customWidth="1"/>
    <col min="13559" max="13559" width="14" style="10" bestFit="1" customWidth="1"/>
    <col min="13560" max="13560" width="12.5546875" style="10" bestFit="1" customWidth="1"/>
    <col min="13561" max="13561" width="12.109375" style="10" bestFit="1" customWidth="1"/>
    <col min="13562" max="13562" width="12.88671875" style="10" bestFit="1" customWidth="1"/>
    <col min="13563" max="13563" width="12" style="10" bestFit="1" customWidth="1"/>
    <col min="13564" max="13564" width="13.44140625" style="10" bestFit="1" customWidth="1"/>
    <col min="13565" max="13565" width="11.109375" style="10" bestFit="1" customWidth="1"/>
    <col min="13566" max="13566" width="12" style="10" bestFit="1" customWidth="1"/>
    <col min="13567" max="13569" width="11.109375" style="10" bestFit="1" customWidth="1"/>
    <col min="13570" max="13570" width="11.44140625" style="10" bestFit="1" customWidth="1"/>
    <col min="13571" max="13808" width="11.44140625" style="10"/>
    <col min="13809" max="13809" width="119.88671875" style="10" bestFit="1" customWidth="1"/>
    <col min="13810" max="13810" width="12.88671875" style="10" bestFit="1" customWidth="1"/>
    <col min="13811" max="13811" width="10.88671875" style="10" bestFit="1" customWidth="1"/>
    <col min="13812" max="13814" width="11.88671875" style="10" bestFit="1" customWidth="1"/>
    <col min="13815" max="13815" width="14" style="10" bestFit="1" customWidth="1"/>
    <col min="13816" max="13816" width="12.5546875" style="10" bestFit="1" customWidth="1"/>
    <col min="13817" max="13817" width="12.109375" style="10" bestFit="1" customWidth="1"/>
    <col min="13818" max="13818" width="12.88671875" style="10" bestFit="1" customWidth="1"/>
    <col min="13819" max="13819" width="12" style="10" bestFit="1" customWidth="1"/>
    <col min="13820" max="13820" width="13.44140625" style="10" bestFit="1" customWidth="1"/>
    <col min="13821" max="13821" width="11.109375" style="10" bestFit="1" customWidth="1"/>
    <col min="13822" max="13822" width="12" style="10" bestFit="1" customWidth="1"/>
    <col min="13823" max="13825" width="11.109375" style="10" bestFit="1" customWidth="1"/>
    <col min="13826" max="13826" width="11.44140625" style="10" bestFit="1" customWidth="1"/>
    <col min="13827" max="14064" width="11.44140625" style="10"/>
    <col min="14065" max="14065" width="119.88671875" style="10" bestFit="1" customWidth="1"/>
    <col min="14066" max="14066" width="12.88671875" style="10" bestFit="1" customWidth="1"/>
    <col min="14067" max="14067" width="10.88671875" style="10" bestFit="1" customWidth="1"/>
    <col min="14068" max="14070" width="11.88671875" style="10" bestFit="1" customWidth="1"/>
    <col min="14071" max="14071" width="14" style="10" bestFit="1" customWidth="1"/>
    <col min="14072" max="14072" width="12.5546875" style="10" bestFit="1" customWidth="1"/>
    <col min="14073" max="14073" width="12.109375" style="10" bestFit="1" customWidth="1"/>
    <col min="14074" max="14074" width="12.88671875" style="10" bestFit="1" customWidth="1"/>
    <col min="14075" max="14075" width="12" style="10" bestFit="1" customWidth="1"/>
    <col min="14076" max="14076" width="13.44140625" style="10" bestFit="1" customWidth="1"/>
    <col min="14077" max="14077" width="11.109375" style="10" bestFit="1" customWidth="1"/>
    <col min="14078" max="14078" width="12" style="10" bestFit="1" customWidth="1"/>
    <col min="14079" max="14081" width="11.109375" style="10" bestFit="1" customWidth="1"/>
    <col min="14082" max="14082" width="11.44140625" style="10" bestFit="1" customWidth="1"/>
    <col min="14083" max="14320" width="11.44140625" style="10"/>
    <col min="14321" max="14321" width="119.88671875" style="10" bestFit="1" customWidth="1"/>
    <col min="14322" max="14322" width="12.88671875" style="10" bestFit="1" customWidth="1"/>
    <col min="14323" max="14323" width="10.88671875" style="10" bestFit="1" customWidth="1"/>
    <col min="14324" max="14326" width="11.88671875" style="10" bestFit="1" customWidth="1"/>
    <col min="14327" max="14327" width="14" style="10" bestFit="1" customWidth="1"/>
    <col min="14328" max="14328" width="12.5546875" style="10" bestFit="1" customWidth="1"/>
    <col min="14329" max="14329" width="12.109375" style="10" bestFit="1" customWidth="1"/>
    <col min="14330" max="14330" width="12.88671875" style="10" bestFit="1" customWidth="1"/>
    <col min="14331" max="14331" width="12" style="10" bestFit="1" customWidth="1"/>
    <col min="14332" max="14332" width="13.44140625" style="10" bestFit="1" customWidth="1"/>
    <col min="14333" max="14333" width="11.109375" style="10" bestFit="1" customWidth="1"/>
    <col min="14334" max="14334" width="12" style="10" bestFit="1" customWidth="1"/>
    <col min="14335" max="14337" width="11.109375" style="10" bestFit="1" customWidth="1"/>
    <col min="14338" max="14338" width="11.44140625" style="10" bestFit="1" customWidth="1"/>
    <col min="14339" max="14576" width="11.44140625" style="10"/>
    <col min="14577" max="14577" width="119.88671875" style="10" bestFit="1" customWidth="1"/>
    <col min="14578" max="14578" width="12.88671875" style="10" bestFit="1" customWidth="1"/>
    <col min="14579" max="14579" width="10.88671875" style="10" bestFit="1" customWidth="1"/>
    <col min="14580" max="14582" width="11.88671875" style="10" bestFit="1" customWidth="1"/>
    <col min="14583" max="14583" width="14" style="10" bestFit="1" customWidth="1"/>
    <col min="14584" max="14584" width="12.5546875" style="10" bestFit="1" customWidth="1"/>
    <col min="14585" max="14585" width="12.109375" style="10" bestFit="1" customWidth="1"/>
    <col min="14586" max="14586" width="12.88671875" style="10" bestFit="1" customWidth="1"/>
    <col min="14587" max="14587" width="12" style="10" bestFit="1" customWidth="1"/>
    <col min="14588" max="14588" width="13.44140625" style="10" bestFit="1" customWidth="1"/>
    <col min="14589" max="14589" width="11.109375" style="10" bestFit="1" customWidth="1"/>
    <col min="14590" max="14590" width="12" style="10" bestFit="1" customWidth="1"/>
    <col min="14591" max="14593" width="11.109375" style="10" bestFit="1" customWidth="1"/>
    <col min="14594" max="14594" width="11.44140625" style="10" bestFit="1" customWidth="1"/>
    <col min="14595" max="14832" width="11.44140625" style="10"/>
    <col min="14833" max="14833" width="119.88671875" style="10" bestFit="1" customWidth="1"/>
    <col min="14834" max="14834" width="12.88671875" style="10" bestFit="1" customWidth="1"/>
    <col min="14835" max="14835" width="10.88671875" style="10" bestFit="1" customWidth="1"/>
    <col min="14836" max="14838" width="11.88671875" style="10" bestFit="1" customWidth="1"/>
    <col min="14839" max="14839" width="14" style="10" bestFit="1" customWidth="1"/>
    <col min="14840" max="14840" width="12.5546875" style="10" bestFit="1" customWidth="1"/>
    <col min="14841" max="14841" width="12.109375" style="10" bestFit="1" customWidth="1"/>
    <col min="14842" max="14842" width="12.88671875" style="10" bestFit="1" customWidth="1"/>
    <col min="14843" max="14843" width="12" style="10" bestFit="1" customWidth="1"/>
    <col min="14844" max="14844" width="13.44140625" style="10" bestFit="1" customWidth="1"/>
    <col min="14845" max="14845" width="11.109375" style="10" bestFit="1" customWidth="1"/>
    <col min="14846" max="14846" width="12" style="10" bestFit="1" customWidth="1"/>
    <col min="14847" max="14849" width="11.109375" style="10" bestFit="1" customWidth="1"/>
    <col min="14850" max="14850" width="11.44140625" style="10" bestFit="1" customWidth="1"/>
    <col min="14851" max="15088" width="11.44140625" style="10"/>
    <col min="15089" max="15089" width="119.88671875" style="10" bestFit="1" customWidth="1"/>
    <col min="15090" max="15090" width="12.88671875" style="10" bestFit="1" customWidth="1"/>
    <col min="15091" max="15091" width="10.88671875" style="10" bestFit="1" customWidth="1"/>
    <col min="15092" max="15094" width="11.88671875" style="10" bestFit="1" customWidth="1"/>
    <col min="15095" max="15095" width="14" style="10" bestFit="1" customWidth="1"/>
    <col min="15096" max="15096" width="12.5546875" style="10" bestFit="1" customWidth="1"/>
    <col min="15097" max="15097" width="12.109375" style="10" bestFit="1" customWidth="1"/>
    <col min="15098" max="15098" width="12.88671875" style="10" bestFit="1" customWidth="1"/>
    <col min="15099" max="15099" width="12" style="10" bestFit="1" customWidth="1"/>
    <col min="15100" max="15100" width="13.44140625" style="10" bestFit="1" customWidth="1"/>
    <col min="15101" max="15101" width="11.109375" style="10" bestFit="1" customWidth="1"/>
    <col min="15102" max="15102" width="12" style="10" bestFit="1" customWidth="1"/>
    <col min="15103" max="15105" width="11.109375" style="10" bestFit="1" customWidth="1"/>
    <col min="15106" max="15106" width="11.44140625" style="10" bestFit="1" customWidth="1"/>
    <col min="15107" max="15344" width="11.44140625" style="10"/>
    <col min="15345" max="15345" width="119.88671875" style="10" bestFit="1" customWidth="1"/>
    <col min="15346" max="15346" width="12.88671875" style="10" bestFit="1" customWidth="1"/>
    <col min="15347" max="15347" width="10.88671875" style="10" bestFit="1" customWidth="1"/>
    <col min="15348" max="15350" width="11.88671875" style="10" bestFit="1" customWidth="1"/>
    <col min="15351" max="15351" width="14" style="10" bestFit="1" customWidth="1"/>
    <col min="15352" max="15352" width="12.5546875" style="10" bestFit="1" customWidth="1"/>
    <col min="15353" max="15353" width="12.109375" style="10" bestFit="1" customWidth="1"/>
    <col min="15354" max="15354" width="12.88671875" style="10" bestFit="1" customWidth="1"/>
    <col min="15355" max="15355" width="12" style="10" bestFit="1" customWidth="1"/>
    <col min="15356" max="15356" width="13.44140625" style="10" bestFit="1" customWidth="1"/>
    <col min="15357" max="15357" width="11.109375" style="10" bestFit="1" customWidth="1"/>
    <col min="15358" max="15358" width="12" style="10" bestFit="1" customWidth="1"/>
    <col min="15359" max="15361" width="11.109375" style="10" bestFit="1" customWidth="1"/>
    <col min="15362" max="15362" width="11.44140625" style="10" bestFit="1" customWidth="1"/>
    <col min="15363" max="15600" width="11.44140625" style="10"/>
    <col min="15601" max="15601" width="119.88671875" style="10" bestFit="1" customWidth="1"/>
    <col min="15602" max="15602" width="12.88671875" style="10" bestFit="1" customWidth="1"/>
    <col min="15603" max="15603" width="10.88671875" style="10" bestFit="1" customWidth="1"/>
    <col min="15604" max="15606" width="11.88671875" style="10" bestFit="1" customWidth="1"/>
    <col min="15607" max="15607" width="14" style="10" bestFit="1" customWidth="1"/>
    <col min="15608" max="15608" width="12.5546875" style="10" bestFit="1" customWidth="1"/>
    <col min="15609" max="15609" width="12.109375" style="10" bestFit="1" customWidth="1"/>
    <col min="15610" max="15610" width="12.88671875" style="10" bestFit="1" customWidth="1"/>
    <col min="15611" max="15611" width="12" style="10" bestFit="1" customWidth="1"/>
    <col min="15612" max="15612" width="13.44140625" style="10" bestFit="1" customWidth="1"/>
    <col min="15613" max="15613" width="11.109375" style="10" bestFit="1" customWidth="1"/>
    <col min="15614" max="15614" width="12" style="10" bestFit="1" customWidth="1"/>
    <col min="15615" max="15617" width="11.109375" style="10" bestFit="1" customWidth="1"/>
    <col min="15618" max="15618" width="11.44140625" style="10" bestFit="1" customWidth="1"/>
    <col min="15619" max="15856" width="11.44140625" style="10"/>
    <col min="15857" max="15857" width="119.88671875" style="10" bestFit="1" customWidth="1"/>
    <col min="15858" max="15858" width="12.88671875" style="10" bestFit="1" customWidth="1"/>
    <col min="15859" max="15859" width="10.88671875" style="10" bestFit="1" customWidth="1"/>
    <col min="15860" max="15862" width="11.88671875" style="10" bestFit="1" customWidth="1"/>
    <col min="15863" max="15863" width="14" style="10" bestFit="1" customWidth="1"/>
    <col min="15864" max="15864" width="12.5546875" style="10" bestFit="1" customWidth="1"/>
    <col min="15865" max="15865" width="12.109375" style="10" bestFit="1" customWidth="1"/>
    <col min="15866" max="15866" width="12.88671875" style="10" bestFit="1" customWidth="1"/>
    <col min="15867" max="15867" width="12" style="10" bestFit="1" customWidth="1"/>
    <col min="15868" max="15868" width="13.44140625" style="10" bestFit="1" customWidth="1"/>
    <col min="15869" max="15869" width="11.109375" style="10" bestFit="1" customWidth="1"/>
    <col min="15870" max="15870" width="12" style="10" bestFit="1" customWidth="1"/>
    <col min="15871" max="15873" width="11.109375" style="10" bestFit="1" customWidth="1"/>
    <col min="15874" max="15874" width="11.44140625" style="10" bestFit="1" customWidth="1"/>
    <col min="15875" max="16112" width="11.44140625" style="10"/>
    <col min="16113" max="16113" width="119.88671875" style="10" bestFit="1" customWidth="1"/>
    <col min="16114" max="16114" width="12.88671875" style="10" bestFit="1" customWidth="1"/>
    <col min="16115" max="16115" width="10.88671875" style="10" bestFit="1" customWidth="1"/>
    <col min="16116" max="16118" width="11.88671875" style="10" bestFit="1" customWidth="1"/>
    <col min="16119" max="16119" width="14" style="10" bestFit="1" customWidth="1"/>
    <col min="16120" max="16120" width="12.5546875" style="10" bestFit="1" customWidth="1"/>
    <col min="16121" max="16121" width="12.109375" style="10" bestFit="1" customWidth="1"/>
    <col min="16122" max="16122" width="12.88671875" style="10" bestFit="1" customWidth="1"/>
    <col min="16123" max="16123" width="12" style="10" bestFit="1" customWidth="1"/>
    <col min="16124" max="16124" width="13.44140625" style="10" bestFit="1" customWidth="1"/>
    <col min="16125" max="16125" width="11.109375" style="10" bestFit="1" customWidth="1"/>
    <col min="16126" max="16126" width="12" style="10" bestFit="1" customWidth="1"/>
    <col min="16127" max="16129" width="11.109375" style="10" bestFit="1" customWidth="1"/>
    <col min="16130" max="16130" width="11.44140625" style="10" bestFit="1" customWidth="1"/>
    <col min="16131" max="16384" width="11.44140625" style="10"/>
  </cols>
  <sheetData>
    <row r="1" spans="1:30" ht="22.55" customHeight="1" x14ac:dyDescent="0.2">
      <c r="A1" s="80" t="s">
        <v>47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  <c r="AA1" s="55">
        <v>47119</v>
      </c>
      <c r="AB1" s="55">
        <v>47209</v>
      </c>
      <c r="AC1" s="55">
        <v>47300</v>
      </c>
      <c r="AD1" s="55">
        <v>47392</v>
      </c>
    </row>
    <row r="2" spans="1:30" ht="21" customHeight="1" x14ac:dyDescent="0.2">
      <c r="A2" s="87" t="s">
        <v>52</v>
      </c>
      <c r="B2" s="88">
        <v>658000</v>
      </c>
      <c r="C2" s="41">
        <v>676316.8798523274</v>
      </c>
      <c r="D2" s="41">
        <v>693311.75684388564</v>
      </c>
      <c r="E2" s="41">
        <v>706740.83785484126</v>
      </c>
      <c r="F2" s="41">
        <v>719109.22977609769</v>
      </c>
      <c r="G2" s="41">
        <v>781030.87430305802</v>
      </c>
      <c r="H2" s="41">
        <v>836012</v>
      </c>
      <c r="I2" s="41">
        <v>881245</v>
      </c>
      <c r="J2" s="41">
        <f>I3</f>
        <v>956145</v>
      </c>
      <c r="K2" s="41">
        <f t="shared" ref="K2:N2" si="0">J3</f>
        <v>986147</v>
      </c>
      <c r="L2" s="41">
        <f t="shared" si="0"/>
        <v>990116</v>
      </c>
      <c r="M2" s="41">
        <f t="shared" si="0"/>
        <v>997360</v>
      </c>
      <c r="N2" s="41">
        <f t="shared" si="0"/>
        <v>1002483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</row>
    <row r="3" spans="1:30" ht="21" customHeight="1" x14ac:dyDescent="0.2">
      <c r="A3" s="87" t="s">
        <v>53</v>
      </c>
      <c r="B3" s="88">
        <v>676316.8798523274</v>
      </c>
      <c r="C3" s="88">
        <v>693311.75684388564</v>
      </c>
      <c r="D3" s="88">
        <v>706740.83785484126</v>
      </c>
      <c r="E3" s="88">
        <v>719109.22977609769</v>
      </c>
      <c r="F3" s="88">
        <v>781030.87430305802</v>
      </c>
      <c r="G3" s="88">
        <v>836012</v>
      </c>
      <c r="H3" s="88">
        <v>881245</v>
      </c>
      <c r="I3" s="88">
        <v>956145</v>
      </c>
      <c r="J3" s="88">
        <v>986147</v>
      </c>
      <c r="K3" s="88">
        <v>990116</v>
      </c>
      <c r="L3" s="88">
        <v>997360</v>
      </c>
      <c r="M3" s="88">
        <v>1002483</v>
      </c>
      <c r="N3" s="88">
        <v>1005564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</row>
    <row r="4" spans="1:30" ht="21" customHeight="1" x14ac:dyDescent="0.2">
      <c r="A4" s="87" t="s">
        <v>54</v>
      </c>
      <c r="B4" s="88">
        <v>201300</v>
      </c>
      <c r="C4" s="41">
        <v>198508.55254276737</v>
      </c>
      <c r="D4" s="41">
        <v>195666.02356999263</v>
      </c>
      <c r="E4" s="41">
        <v>192200.73349980466</v>
      </c>
      <c r="F4" s="41">
        <v>188698.1338687196</v>
      </c>
      <c r="G4" s="41">
        <v>185166.98395020451</v>
      </c>
      <c r="H4" s="41">
        <v>181911.09322249098</v>
      </c>
      <c r="I4" s="41">
        <v>178620.82244824988</v>
      </c>
      <c r="J4" s="41">
        <v>175380.91288236313</v>
      </c>
      <c r="K4" s="41">
        <v>172239.82434635572</v>
      </c>
      <c r="L4" s="41">
        <v>169208.97603590216</v>
      </c>
      <c r="M4" s="41">
        <v>166265.97211461779</v>
      </c>
      <c r="N4" s="41">
        <v>163376.86672538394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</row>
    <row r="5" spans="1:30" ht="21" customHeight="1" x14ac:dyDescent="0.2">
      <c r="A5" s="87" t="s">
        <v>55</v>
      </c>
      <c r="B5" s="88">
        <v>198508.55254276737</v>
      </c>
      <c r="C5" s="88">
        <v>195666.02356999263</v>
      </c>
      <c r="D5" s="88">
        <v>192200.73349980466</v>
      </c>
      <c r="E5" s="88">
        <v>188698.1338687196</v>
      </c>
      <c r="F5" s="88">
        <v>185166.98395020451</v>
      </c>
      <c r="G5" s="88">
        <v>181911.09322249098</v>
      </c>
      <c r="H5" s="88">
        <v>178620.82244824988</v>
      </c>
      <c r="I5" s="88">
        <v>175380.91288236313</v>
      </c>
      <c r="J5" s="88">
        <v>172239.82434635572</v>
      </c>
      <c r="K5" s="88">
        <v>169208.97603590216</v>
      </c>
      <c r="L5" s="88">
        <v>166265.97211461779</v>
      </c>
      <c r="M5" s="88">
        <v>163376.86672538394</v>
      </c>
      <c r="N5" s="88">
        <v>160592.17784613979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</row>
    <row r="6" spans="1:30" ht="21" customHeight="1" x14ac:dyDescent="0.2">
      <c r="A6" s="87" t="s">
        <v>57</v>
      </c>
      <c r="B6" s="88">
        <v>11916</v>
      </c>
      <c r="C6" s="41">
        <v>12527</v>
      </c>
      <c r="D6" s="41">
        <v>15744</v>
      </c>
      <c r="E6" s="41">
        <v>16382</v>
      </c>
      <c r="F6" s="41">
        <v>16988</v>
      </c>
      <c r="G6" s="41">
        <v>16110</v>
      </c>
      <c r="H6" s="41">
        <v>16780</v>
      </c>
      <c r="I6" s="41">
        <v>17012</v>
      </c>
      <c r="J6" s="41">
        <v>16950</v>
      </c>
      <c r="K6" s="41">
        <v>16830</v>
      </c>
      <c r="L6" s="41">
        <v>16780</v>
      </c>
      <c r="M6" s="41">
        <v>16934</v>
      </c>
      <c r="N6" s="41">
        <v>16750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1:30" ht="21" customHeight="1" x14ac:dyDescent="0.2">
      <c r="A7" s="19" t="s">
        <v>56</v>
      </c>
      <c r="B7" s="89">
        <f>B3+B5-B2-B4</f>
        <v>15525.432395094773</v>
      </c>
      <c r="C7" s="89">
        <f t="shared" ref="C7:N7" si="1">C3+C5-C2-C4</f>
        <v>14152.348018783494</v>
      </c>
      <c r="D7" s="89">
        <f t="shared" si="1"/>
        <v>9963.7909407676198</v>
      </c>
      <c r="E7" s="89">
        <f t="shared" si="1"/>
        <v>8865.7922901713464</v>
      </c>
      <c r="F7" s="89">
        <f t="shared" si="1"/>
        <v>58390.49460844518</v>
      </c>
      <c r="G7" s="89">
        <f t="shared" si="1"/>
        <v>51725.234969228448</v>
      </c>
      <c r="H7" s="89">
        <f t="shared" si="1"/>
        <v>41942.729225758929</v>
      </c>
      <c r="I7" s="89">
        <f t="shared" si="1"/>
        <v>71660.090434113314</v>
      </c>
      <c r="J7" s="89">
        <f t="shared" si="1"/>
        <v>26860.911463992496</v>
      </c>
      <c r="K7" s="89">
        <f t="shared" si="1"/>
        <v>938.1516895465611</v>
      </c>
      <c r="L7" s="89">
        <f t="shared" si="1"/>
        <v>4300.9960787155433</v>
      </c>
      <c r="M7" s="89">
        <f t="shared" si="1"/>
        <v>2233.8946107662341</v>
      </c>
      <c r="N7" s="89">
        <f t="shared" si="1"/>
        <v>296.31112075582496</v>
      </c>
      <c r="O7" s="61">
        <f t="shared" ref="O7" si="2">O3+O5-O2-O4</f>
        <v>0</v>
      </c>
      <c r="P7" s="61">
        <f t="shared" ref="P7" si="3">P3+P5-P2-P4</f>
        <v>0</v>
      </c>
      <c r="Q7" s="61">
        <f t="shared" ref="Q7" si="4">Q3+Q5-Q2-Q4</f>
        <v>0</v>
      </c>
      <c r="R7" s="61">
        <f t="shared" ref="R7" si="5">R3+R5-R2-R4</f>
        <v>0</v>
      </c>
      <c r="S7" s="61">
        <f t="shared" ref="S7" si="6">S3+S5-S2-S4</f>
        <v>0</v>
      </c>
      <c r="T7" s="61">
        <f t="shared" ref="T7" si="7">T3+T5-T2-T4</f>
        <v>0</v>
      </c>
      <c r="U7" s="61">
        <f t="shared" ref="U7" si="8">U3+U5-U2-U4</f>
        <v>0</v>
      </c>
      <c r="V7" s="61">
        <f t="shared" ref="V7" si="9">V3+V5-V2-V4</f>
        <v>0</v>
      </c>
      <c r="W7" s="61">
        <f t="shared" ref="W7" si="10">W3+W5-W2-W4</f>
        <v>0</v>
      </c>
      <c r="X7" s="61">
        <f t="shared" ref="X7" si="11">X3+X5-X2-X4</f>
        <v>0</v>
      </c>
      <c r="Y7" s="61">
        <f t="shared" ref="Y7" si="12">Y3+Y5-Y2-Y4</f>
        <v>0</v>
      </c>
      <c r="Z7" s="61">
        <f t="shared" ref="Z7" si="13">Z3+Z5-Z2-Z4</f>
        <v>0</v>
      </c>
      <c r="AA7" s="61">
        <f t="shared" ref="AA7" si="14">AA3+AA5-AA2-AA4</f>
        <v>0</v>
      </c>
      <c r="AB7" s="61">
        <f t="shared" ref="AB7" si="15">AB3+AB5-AB2-AB4</f>
        <v>0</v>
      </c>
      <c r="AC7" s="61">
        <f t="shared" ref="AC7" si="16">AC3+AC5-AC2-AC4</f>
        <v>0</v>
      </c>
      <c r="AD7" s="61">
        <f t="shared" ref="AD7" si="17">AD3+AD5-AD2-AD4</f>
        <v>0</v>
      </c>
    </row>
  </sheetData>
  <pageMargins left="0.70866141732283472" right="0.70866141732283472" top="0.74803149606299213" bottom="0.74803149606299213" header="0.31496062992125984" footer="0.31496062992125984"/>
  <pageSetup paperSize="9" scale="4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L5" sqref="L5"/>
    </sheetView>
  </sheetViews>
  <sheetFormatPr defaultColWidth="8.88671875" defaultRowHeight="11.3" x14ac:dyDescent="0.2"/>
  <cols>
    <col min="1" max="1" width="38.109375" style="13" customWidth="1"/>
    <col min="2" max="2" width="12.44140625" style="13" customWidth="1"/>
    <col min="3" max="3" width="11.44140625" style="13" customWidth="1"/>
    <col min="4" max="4" width="13.109375" style="13" customWidth="1"/>
    <col min="5" max="5" width="9.5546875" style="13" customWidth="1"/>
    <col min="6" max="6" width="11.44140625" style="13" customWidth="1"/>
    <col min="7" max="7" width="14" style="13" customWidth="1"/>
    <col min="8" max="8" width="12" style="13" customWidth="1"/>
    <col min="9" max="9" width="14.5546875" style="13" customWidth="1"/>
    <col min="10" max="10" width="13" style="13" customWidth="1"/>
    <col min="11" max="11" width="14" style="13" customWidth="1"/>
    <col min="12" max="12" width="12" style="13" customWidth="1"/>
    <col min="13" max="13" width="10" style="13" customWidth="1"/>
    <col min="14" max="14" width="13" style="13" customWidth="1"/>
    <col min="15" max="15" width="14" style="13" customWidth="1"/>
    <col min="16" max="16" width="12" style="13" customWidth="1"/>
    <col min="17" max="17" width="10" style="13" customWidth="1"/>
    <col min="18" max="18" width="13" style="13" customWidth="1"/>
    <col min="19" max="19" width="14" style="13" customWidth="1"/>
    <col min="20" max="20" width="12" style="13" customWidth="1"/>
    <col min="21" max="21" width="10" style="13" customWidth="1"/>
    <col min="22" max="22" width="13" style="13" customWidth="1"/>
    <col min="23" max="23" width="14" style="13" customWidth="1"/>
    <col min="24" max="24" width="12" style="13" customWidth="1"/>
    <col min="25" max="25" width="10" style="13" customWidth="1"/>
    <col min="26" max="26" width="13" style="13" customWidth="1"/>
    <col min="27" max="242" width="8.88671875" style="13"/>
    <col min="243" max="243" width="66.5546875" style="13" bestFit="1" customWidth="1"/>
    <col min="244" max="244" width="11.5546875" style="13" bestFit="1" customWidth="1"/>
    <col min="245" max="245" width="8.88671875" style="13" bestFit="1" customWidth="1"/>
    <col min="246" max="246" width="10" style="13" customWidth="1"/>
    <col min="247" max="247" width="12.109375" style="13" bestFit="1" customWidth="1"/>
    <col min="248" max="248" width="13.88671875" style="13" bestFit="1" customWidth="1"/>
    <col min="249" max="249" width="13.44140625" style="13" customWidth="1"/>
    <col min="250" max="250" width="12.109375" style="13" customWidth="1"/>
    <col min="251" max="251" width="11.88671875" style="13" customWidth="1"/>
    <col min="252" max="252" width="12.44140625" style="13" customWidth="1"/>
    <col min="253" max="253" width="11.44140625" style="13" customWidth="1"/>
    <col min="254" max="254" width="13.109375" style="13" bestFit="1" customWidth="1"/>
    <col min="255" max="255" width="9.5546875" style="13" bestFit="1" customWidth="1"/>
    <col min="256" max="256" width="11.44140625" style="13" customWidth="1"/>
    <col min="257" max="257" width="9.109375" style="13" customWidth="1"/>
    <col min="258" max="259" width="10" style="13" customWidth="1"/>
    <col min="260" max="260" width="10.88671875" style="13" bestFit="1" customWidth="1"/>
    <col min="261" max="498" width="8.88671875" style="13"/>
    <col min="499" max="499" width="66.5546875" style="13" bestFit="1" customWidth="1"/>
    <col min="500" max="500" width="11.5546875" style="13" bestFit="1" customWidth="1"/>
    <col min="501" max="501" width="8.88671875" style="13" bestFit="1" customWidth="1"/>
    <col min="502" max="502" width="10" style="13" customWidth="1"/>
    <col min="503" max="503" width="12.109375" style="13" bestFit="1" customWidth="1"/>
    <col min="504" max="504" width="13.88671875" style="13" bestFit="1" customWidth="1"/>
    <col min="505" max="505" width="13.44140625" style="13" customWidth="1"/>
    <col min="506" max="506" width="12.109375" style="13" customWidth="1"/>
    <col min="507" max="507" width="11.88671875" style="13" customWidth="1"/>
    <col min="508" max="508" width="12.44140625" style="13" customWidth="1"/>
    <col min="509" max="509" width="11.44140625" style="13" customWidth="1"/>
    <col min="510" max="510" width="13.109375" style="13" bestFit="1" customWidth="1"/>
    <col min="511" max="511" width="9.5546875" style="13" bestFit="1" customWidth="1"/>
    <col min="512" max="512" width="11.44140625" style="13" customWidth="1"/>
    <col min="513" max="513" width="9.109375" style="13" customWidth="1"/>
    <col min="514" max="515" width="10" style="13" customWidth="1"/>
    <col min="516" max="516" width="10.88671875" style="13" bestFit="1" customWidth="1"/>
    <col min="517" max="754" width="8.88671875" style="13"/>
    <col min="755" max="755" width="66.5546875" style="13" bestFit="1" customWidth="1"/>
    <col min="756" max="756" width="11.5546875" style="13" bestFit="1" customWidth="1"/>
    <col min="757" max="757" width="8.88671875" style="13" bestFit="1" customWidth="1"/>
    <col min="758" max="758" width="10" style="13" customWidth="1"/>
    <col min="759" max="759" width="12.109375" style="13" bestFit="1" customWidth="1"/>
    <col min="760" max="760" width="13.88671875" style="13" bestFit="1" customWidth="1"/>
    <col min="761" max="761" width="13.44140625" style="13" customWidth="1"/>
    <col min="762" max="762" width="12.109375" style="13" customWidth="1"/>
    <col min="763" max="763" width="11.88671875" style="13" customWidth="1"/>
    <col min="764" max="764" width="12.44140625" style="13" customWidth="1"/>
    <col min="765" max="765" width="11.44140625" style="13" customWidth="1"/>
    <col min="766" max="766" width="13.109375" style="13" bestFit="1" customWidth="1"/>
    <col min="767" max="767" width="9.5546875" style="13" bestFit="1" customWidth="1"/>
    <col min="768" max="768" width="11.44140625" style="13" customWidth="1"/>
    <col min="769" max="769" width="9.109375" style="13" customWidth="1"/>
    <col min="770" max="771" width="10" style="13" customWidth="1"/>
    <col min="772" max="772" width="10.88671875" style="13" bestFit="1" customWidth="1"/>
    <col min="773" max="1010" width="8.88671875" style="13"/>
    <col min="1011" max="1011" width="66.5546875" style="13" bestFit="1" customWidth="1"/>
    <col min="1012" max="1012" width="11.5546875" style="13" bestFit="1" customWidth="1"/>
    <col min="1013" max="1013" width="8.88671875" style="13" bestFit="1" customWidth="1"/>
    <col min="1014" max="1014" width="10" style="13" customWidth="1"/>
    <col min="1015" max="1015" width="12.109375" style="13" bestFit="1" customWidth="1"/>
    <col min="1016" max="1016" width="13.88671875" style="13" bestFit="1" customWidth="1"/>
    <col min="1017" max="1017" width="13.44140625" style="13" customWidth="1"/>
    <col min="1018" max="1018" width="12.109375" style="13" customWidth="1"/>
    <col min="1019" max="1019" width="11.88671875" style="13" customWidth="1"/>
    <col min="1020" max="1020" width="12.44140625" style="13" customWidth="1"/>
    <col min="1021" max="1021" width="11.44140625" style="13" customWidth="1"/>
    <col min="1022" max="1022" width="13.109375" style="13" bestFit="1" customWidth="1"/>
    <col min="1023" max="1023" width="9.5546875" style="13" bestFit="1" customWidth="1"/>
    <col min="1024" max="1024" width="11.44140625" style="13" customWidth="1"/>
    <col min="1025" max="1025" width="9.109375" style="13" customWidth="1"/>
    <col min="1026" max="1027" width="10" style="13" customWidth="1"/>
    <col min="1028" max="1028" width="10.88671875" style="13" bestFit="1" customWidth="1"/>
    <col min="1029" max="1266" width="8.88671875" style="13"/>
    <col min="1267" max="1267" width="66.5546875" style="13" bestFit="1" customWidth="1"/>
    <col min="1268" max="1268" width="11.5546875" style="13" bestFit="1" customWidth="1"/>
    <col min="1269" max="1269" width="8.88671875" style="13" bestFit="1" customWidth="1"/>
    <col min="1270" max="1270" width="10" style="13" customWidth="1"/>
    <col min="1271" max="1271" width="12.109375" style="13" bestFit="1" customWidth="1"/>
    <col min="1272" max="1272" width="13.88671875" style="13" bestFit="1" customWidth="1"/>
    <col min="1273" max="1273" width="13.44140625" style="13" customWidth="1"/>
    <col min="1274" max="1274" width="12.109375" style="13" customWidth="1"/>
    <col min="1275" max="1275" width="11.88671875" style="13" customWidth="1"/>
    <col min="1276" max="1276" width="12.44140625" style="13" customWidth="1"/>
    <col min="1277" max="1277" width="11.44140625" style="13" customWidth="1"/>
    <col min="1278" max="1278" width="13.109375" style="13" bestFit="1" customWidth="1"/>
    <col min="1279" max="1279" width="9.5546875" style="13" bestFit="1" customWidth="1"/>
    <col min="1280" max="1280" width="11.44140625" style="13" customWidth="1"/>
    <col min="1281" max="1281" width="9.109375" style="13" customWidth="1"/>
    <col min="1282" max="1283" width="10" style="13" customWidth="1"/>
    <col min="1284" max="1284" width="10.88671875" style="13" bestFit="1" customWidth="1"/>
    <col min="1285" max="1522" width="8.88671875" style="13"/>
    <col min="1523" max="1523" width="66.5546875" style="13" bestFit="1" customWidth="1"/>
    <col min="1524" max="1524" width="11.5546875" style="13" bestFit="1" customWidth="1"/>
    <col min="1525" max="1525" width="8.88671875" style="13" bestFit="1" customWidth="1"/>
    <col min="1526" max="1526" width="10" style="13" customWidth="1"/>
    <col min="1527" max="1527" width="12.109375" style="13" bestFit="1" customWidth="1"/>
    <col min="1528" max="1528" width="13.88671875" style="13" bestFit="1" customWidth="1"/>
    <col min="1529" max="1529" width="13.44140625" style="13" customWidth="1"/>
    <col min="1530" max="1530" width="12.109375" style="13" customWidth="1"/>
    <col min="1531" max="1531" width="11.88671875" style="13" customWidth="1"/>
    <col min="1532" max="1532" width="12.44140625" style="13" customWidth="1"/>
    <col min="1533" max="1533" width="11.44140625" style="13" customWidth="1"/>
    <col min="1534" max="1534" width="13.109375" style="13" bestFit="1" customWidth="1"/>
    <col min="1535" max="1535" width="9.5546875" style="13" bestFit="1" customWidth="1"/>
    <col min="1536" max="1536" width="11.44140625" style="13" customWidth="1"/>
    <col min="1537" max="1537" width="9.109375" style="13" customWidth="1"/>
    <col min="1538" max="1539" width="10" style="13" customWidth="1"/>
    <col min="1540" max="1540" width="10.88671875" style="13" bestFit="1" customWidth="1"/>
    <col min="1541" max="1778" width="8.88671875" style="13"/>
    <col min="1779" max="1779" width="66.5546875" style="13" bestFit="1" customWidth="1"/>
    <col min="1780" max="1780" width="11.5546875" style="13" bestFit="1" customWidth="1"/>
    <col min="1781" max="1781" width="8.88671875" style="13" bestFit="1" customWidth="1"/>
    <col min="1782" max="1782" width="10" style="13" customWidth="1"/>
    <col min="1783" max="1783" width="12.109375" style="13" bestFit="1" customWidth="1"/>
    <col min="1784" max="1784" width="13.88671875" style="13" bestFit="1" customWidth="1"/>
    <col min="1785" max="1785" width="13.44140625" style="13" customWidth="1"/>
    <col min="1786" max="1786" width="12.109375" style="13" customWidth="1"/>
    <col min="1787" max="1787" width="11.88671875" style="13" customWidth="1"/>
    <col min="1788" max="1788" width="12.44140625" style="13" customWidth="1"/>
    <col min="1789" max="1789" width="11.44140625" style="13" customWidth="1"/>
    <col min="1790" max="1790" width="13.109375" style="13" bestFit="1" customWidth="1"/>
    <col min="1791" max="1791" width="9.5546875" style="13" bestFit="1" customWidth="1"/>
    <col min="1792" max="1792" width="11.44140625" style="13" customWidth="1"/>
    <col min="1793" max="1793" width="9.109375" style="13" customWidth="1"/>
    <col min="1794" max="1795" width="10" style="13" customWidth="1"/>
    <col min="1796" max="1796" width="10.88671875" style="13" bestFit="1" customWidth="1"/>
    <col min="1797" max="2034" width="8.88671875" style="13"/>
    <col min="2035" max="2035" width="66.5546875" style="13" bestFit="1" customWidth="1"/>
    <col min="2036" max="2036" width="11.5546875" style="13" bestFit="1" customWidth="1"/>
    <col min="2037" max="2037" width="8.88671875" style="13" bestFit="1" customWidth="1"/>
    <col min="2038" max="2038" width="10" style="13" customWidth="1"/>
    <col min="2039" max="2039" width="12.109375" style="13" bestFit="1" customWidth="1"/>
    <col min="2040" max="2040" width="13.88671875" style="13" bestFit="1" customWidth="1"/>
    <col min="2041" max="2041" width="13.44140625" style="13" customWidth="1"/>
    <col min="2042" max="2042" width="12.109375" style="13" customWidth="1"/>
    <col min="2043" max="2043" width="11.88671875" style="13" customWidth="1"/>
    <col min="2044" max="2044" width="12.44140625" style="13" customWidth="1"/>
    <col min="2045" max="2045" width="11.44140625" style="13" customWidth="1"/>
    <col min="2046" max="2046" width="13.109375" style="13" bestFit="1" customWidth="1"/>
    <col min="2047" max="2047" width="9.5546875" style="13" bestFit="1" customWidth="1"/>
    <col min="2048" max="2048" width="11.44140625" style="13" customWidth="1"/>
    <col min="2049" max="2049" width="9.109375" style="13" customWidth="1"/>
    <col min="2050" max="2051" width="10" style="13" customWidth="1"/>
    <col min="2052" max="2052" width="10.88671875" style="13" bestFit="1" customWidth="1"/>
    <col min="2053" max="2290" width="8.88671875" style="13"/>
    <col min="2291" max="2291" width="66.5546875" style="13" bestFit="1" customWidth="1"/>
    <col min="2292" max="2292" width="11.5546875" style="13" bestFit="1" customWidth="1"/>
    <col min="2293" max="2293" width="8.88671875" style="13" bestFit="1" customWidth="1"/>
    <col min="2294" max="2294" width="10" style="13" customWidth="1"/>
    <col min="2295" max="2295" width="12.109375" style="13" bestFit="1" customWidth="1"/>
    <col min="2296" max="2296" width="13.88671875" style="13" bestFit="1" customWidth="1"/>
    <col min="2297" max="2297" width="13.44140625" style="13" customWidth="1"/>
    <col min="2298" max="2298" width="12.109375" style="13" customWidth="1"/>
    <col min="2299" max="2299" width="11.88671875" style="13" customWidth="1"/>
    <col min="2300" max="2300" width="12.44140625" style="13" customWidth="1"/>
    <col min="2301" max="2301" width="11.44140625" style="13" customWidth="1"/>
    <col min="2302" max="2302" width="13.109375" style="13" bestFit="1" customWidth="1"/>
    <col min="2303" max="2303" width="9.5546875" style="13" bestFit="1" customWidth="1"/>
    <col min="2304" max="2304" width="11.44140625" style="13" customWidth="1"/>
    <col min="2305" max="2305" width="9.109375" style="13" customWidth="1"/>
    <col min="2306" max="2307" width="10" style="13" customWidth="1"/>
    <col min="2308" max="2308" width="10.88671875" style="13" bestFit="1" customWidth="1"/>
    <col min="2309" max="2546" width="8.88671875" style="13"/>
    <col min="2547" max="2547" width="66.5546875" style="13" bestFit="1" customWidth="1"/>
    <col min="2548" max="2548" width="11.5546875" style="13" bestFit="1" customWidth="1"/>
    <col min="2549" max="2549" width="8.88671875" style="13" bestFit="1" customWidth="1"/>
    <col min="2550" max="2550" width="10" style="13" customWidth="1"/>
    <col min="2551" max="2551" width="12.109375" style="13" bestFit="1" customWidth="1"/>
    <col min="2552" max="2552" width="13.88671875" style="13" bestFit="1" customWidth="1"/>
    <col min="2553" max="2553" width="13.44140625" style="13" customWidth="1"/>
    <col min="2554" max="2554" width="12.109375" style="13" customWidth="1"/>
    <col min="2555" max="2555" width="11.88671875" style="13" customWidth="1"/>
    <col min="2556" max="2556" width="12.44140625" style="13" customWidth="1"/>
    <col min="2557" max="2557" width="11.44140625" style="13" customWidth="1"/>
    <col min="2558" max="2558" width="13.109375" style="13" bestFit="1" customWidth="1"/>
    <col min="2559" max="2559" width="9.5546875" style="13" bestFit="1" customWidth="1"/>
    <col min="2560" max="2560" width="11.44140625" style="13" customWidth="1"/>
    <col min="2561" max="2561" width="9.109375" style="13" customWidth="1"/>
    <col min="2562" max="2563" width="10" style="13" customWidth="1"/>
    <col min="2564" max="2564" width="10.88671875" style="13" bestFit="1" customWidth="1"/>
    <col min="2565" max="2802" width="8.88671875" style="13"/>
    <col min="2803" max="2803" width="66.5546875" style="13" bestFit="1" customWidth="1"/>
    <col min="2804" max="2804" width="11.5546875" style="13" bestFit="1" customWidth="1"/>
    <col min="2805" max="2805" width="8.88671875" style="13" bestFit="1" customWidth="1"/>
    <col min="2806" max="2806" width="10" style="13" customWidth="1"/>
    <col min="2807" max="2807" width="12.109375" style="13" bestFit="1" customWidth="1"/>
    <col min="2808" max="2808" width="13.88671875" style="13" bestFit="1" customWidth="1"/>
    <col min="2809" max="2809" width="13.44140625" style="13" customWidth="1"/>
    <col min="2810" max="2810" width="12.109375" style="13" customWidth="1"/>
    <col min="2811" max="2811" width="11.88671875" style="13" customWidth="1"/>
    <col min="2812" max="2812" width="12.44140625" style="13" customWidth="1"/>
    <col min="2813" max="2813" width="11.44140625" style="13" customWidth="1"/>
    <col min="2814" max="2814" width="13.109375" style="13" bestFit="1" customWidth="1"/>
    <col min="2815" max="2815" width="9.5546875" style="13" bestFit="1" customWidth="1"/>
    <col min="2816" max="2816" width="11.44140625" style="13" customWidth="1"/>
    <col min="2817" max="2817" width="9.109375" style="13" customWidth="1"/>
    <col min="2818" max="2819" width="10" style="13" customWidth="1"/>
    <col min="2820" max="2820" width="10.88671875" style="13" bestFit="1" customWidth="1"/>
    <col min="2821" max="3058" width="8.88671875" style="13"/>
    <col min="3059" max="3059" width="66.5546875" style="13" bestFit="1" customWidth="1"/>
    <col min="3060" max="3060" width="11.5546875" style="13" bestFit="1" customWidth="1"/>
    <col min="3061" max="3061" width="8.88671875" style="13" bestFit="1" customWidth="1"/>
    <col min="3062" max="3062" width="10" style="13" customWidth="1"/>
    <col min="3063" max="3063" width="12.109375" style="13" bestFit="1" customWidth="1"/>
    <col min="3064" max="3064" width="13.88671875" style="13" bestFit="1" customWidth="1"/>
    <col min="3065" max="3065" width="13.44140625" style="13" customWidth="1"/>
    <col min="3066" max="3066" width="12.109375" style="13" customWidth="1"/>
    <col min="3067" max="3067" width="11.88671875" style="13" customWidth="1"/>
    <col min="3068" max="3068" width="12.44140625" style="13" customWidth="1"/>
    <col min="3069" max="3069" width="11.44140625" style="13" customWidth="1"/>
    <col min="3070" max="3070" width="13.109375" style="13" bestFit="1" customWidth="1"/>
    <col min="3071" max="3071" width="9.5546875" style="13" bestFit="1" customWidth="1"/>
    <col min="3072" max="3072" width="11.44140625" style="13" customWidth="1"/>
    <col min="3073" max="3073" width="9.109375" style="13" customWidth="1"/>
    <col min="3074" max="3075" width="10" style="13" customWidth="1"/>
    <col min="3076" max="3076" width="10.88671875" style="13" bestFit="1" customWidth="1"/>
    <col min="3077" max="3314" width="8.88671875" style="13"/>
    <col min="3315" max="3315" width="66.5546875" style="13" bestFit="1" customWidth="1"/>
    <col min="3316" max="3316" width="11.5546875" style="13" bestFit="1" customWidth="1"/>
    <col min="3317" max="3317" width="8.88671875" style="13" bestFit="1" customWidth="1"/>
    <col min="3318" max="3318" width="10" style="13" customWidth="1"/>
    <col min="3319" max="3319" width="12.109375" style="13" bestFit="1" customWidth="1"/>
    <col min="3320" max="3320" width="13.88671875" style="13" bestFit="1" customWidth="1"/>
    <col min="3321" max="3321" width="13.44140625" style="13" customWidth="1"/>
    <col min="3322" max="3322" width="12.109375" style="13" customWidth="1"/>
    <col min="3323" max="3323" width="11.88671875" style="13" customWidth="1"/>
    <col min="3324" max="3324" width="12.44140625" style="13" customWidth="1"/>
    <col min="3325" max="3325" width="11.44140625" style="13" customWidth="1"/>
    <col min="3326" max="3326" width="13.109375" style="13" bestFit="1" customWidth="1"/>
    <col min="3327" max="3327" width="9.5546875" style="13" bestFit="1" customWidth="1"/>
    <col min="3328" max="3328" width="11.44140625" style="13" customWidth="1"/>
    <col min="3329" max="3329" width="9.109375" style="13" customWidth="1"/>
    <col min="3330" max="3331" width="10" style="13" customWidth="1"/>
    <col min="3332" max="3332" width="10.88671875" style="13" bestFit="1" customWidth="1"/>
    <col min="3333" max="3570" width="8.88671875" style="13"/>
    <col min="3571" max="3571" width="66.5546875" style="13" bestFit="1" customWidth="1"/>
    <col min="3572" max="3572" width="11.5546875" style="13" bestFit="1" customWidth="1"/>
    <col min="3573" max="3573" width="8.88671875" style="13" bestFit="1" customWidth="1"/>
    <col min="3574" max="3574" width="10" style="13" customWidth="1"/>
    <col min="3575" max="3575" width="12.109375" style="13" bestFit="1" customWidth="1"/>
    <col min="3576" max="3576" width="13.88671875" style="13" bestFit="1" customWidth="1"/>
    <col min="3577" max="3577" width="13.44140625" style="13" customWidth="1"/>
    <col min="3578" max="3578" width="12.109375" style="13" customWidth="1"/>
    <col min="3579" max="3579" width="11.88671875" style="13" customWidth="1"/>
    <col min="3580" max="3580" width="12.44140625" style="13" customWidth="1"/>
    <col min="3581" max="3581" width="11.44140625" style="13" customWidth="1"/>
    <col min="3582" max="3582" width="13.109375" style="13" bestFit="1" customWidth="1"/>
    <col min="3583" max="3583" width="9.5546875" style="13" bestFit="1" customWidth="1"/>
    <col min="3584" max="3584" width="11.44140625" style="13" customWidth="1"/>
    <col min="3585" max="3585" width="9.109375" style="13" customWidth="1"/>
    <col min="3586" max="3587" width="10" style="13" customWidth="1"/>
    <col min="3588" max="3588" width="10.88671875" style="13" bestFit="1" customWidth="1"/>
    <col min="3589" max="3826" width="8.88671875" style="13"/>
    <col min="3827" max="3827" width="66.5546875" style="13" bestFit="1" customWidth="1"/>
    <col min="3828" max="3828" width="11.5546875" style="13" bestFit="1" customWidth="1"/>
    <col min="3829" max="3829" width="8.88671875" style="13" bestFit="1" customWidth="1"/>
    <col min="3830" max="3830" width="10" style="13" customWidth="1"/>
    <col min="3831" max="3831" width="12.109375" style="13" bestFit="1" customWidth="1"/>
    <col min="3832" max="3832" width="13.88671875" style="13" bestFit="1" customWidth="1"/>
    <col min="3833" max="3833" width="13.44140625" style="13" customWidth="1"/>
    <col min="3834" max="3834" width="12.109375" style="13" customWidth="1"/>
    <col min="3835" max="3835" width="11.88671875" style="13" customWidth="1"/>
    <col min="3836" max="3836" width="12.44140625" style="13" customWidth="1"/>
    <col min="3837" max="3837" width="11.44140625" style="13" customWidth="1"/>
    <col min="3838" max="3838" width="13.109375" style="13" bestFit="1" customWidth="1"/>
    <col min="3839" max="3839" width="9.5546875" style="13" bestFit="1" customWidth="1"/>
    <col min="3840" max="3840" width="11.44140625" style="13" customWidth="1"/>
    <col min="3841" max="3841" width="9.109375" style="13" customWidth="1"/>
    <col min="3842" max="3843" width="10" style="13" customWidth="1"/>
    <col min="3844" max="3844" width="10.88671875" style="13" bestFit="1" customWidth="1"/>
    <col min="3845" max="4082" width="8.88671875" style="13"/>
    <col min="4083" max="4083" width="66.5546875" style="13" bestFit="1" customWidth="1"/>
    <col min="4084" max="4084" width="11.5546875" style="13" bestFit="1" customWidth="1"/>
    <col min="4085" max="4085" width="8.88671875" style="13" bestFit="1" customWidth="1"/>
    <col min="4086" max="4086" width="10" style="13" customWidth="1"/>
    <col min="4087" max="4087" width="12.109375" style="13" bestFit="1" customWidth="1"/>
    <col min="4088" max="4088" width="13.88671875" style="13" bestFit="1" customWidth="1"/>
    <col min="4089" max="4089" width="13.44140625" style="13" customWidth="1"/>
    <col min="4090" max="4090" width="12.109375" style="13" customWidth="1"/>
    <col min="4091" max="4091" width="11.88671875" style="13" customWidth="1"/>
    <col min="4092" max="4092" width="12.44140625" style="13" customWidth="1"/>
    <col min="4093" max="4093" width="11.44140625" style="13" customWidth="1"/>
    <col min="4094" max="4094" width="13.109375" style="13" bestFit="1" customWidth="1"/>
    <col min="4095" max="4095" width="9.5546875" style="13" bestFit="1" customWidth="1"/>
    <col min="4096" max="4096" width="11.44140625" style="13" customWidth="1"/>
    <col min="4097" max="4097" width="9.109375" style="13" customWidth="1"/>
    <col min="4098" max="4099" width="10" style="13" customWidth="1"/>
    <col min="4100" max="4100" width="10.88671875" style="13" bestFit="1" customWidth="1"/>
    <col min="4101" max="4338" width="8.88671875" style="13"/>
    <col min="4339" max="4339" width="66.5546875" style="13" bestFit="1" customWidth="1"/>
    <col min="4340" max="4340" width="11.5546875" style="13" bestFit="1" customWidth="1"/>
    <col min="4341" max="4341" width="8.88671875" style="13" bestFit="1" customWidth="1"/>
    <col min="4342" max="4342" width="10" style="13" customWidth="1"/>
    <col min="4343" max="4343" width="12.109375" style="13" bestFit="1" customWidth="1"/>
    <col min="4344" max="4344" width="13.88671875" style="13" bestFit="1" customWidth="1"/>
    <col min="4345" max="4345" width="13.44140625" style="13" customWidth="1"/>
    <col min="4346" max="4346" width="12.109375" style="13" customWidth="1"/>
    <col min="4347" max="4347" width="11.88671875" style="13" customWidth="1"/>
    <col min="4348" max="4348" width="12.44140625" style="13" customWidth="1"/>
    <col min="4349" max="4349" width="11.44140625" style="13" customWidth="1"/>
    <col min="4350" max="4350" width="13.109375" style="13" bestFit="1" customWidth="1"/>
    <col min="4351" max="4351" width="9.5546875" style="13" bestFit="1" customWidth="1"/>
    <col min="4352" max="4352" width="11.44140625" style="13" customWidth="1"/>
    <col min="4353" max="4353" width="9.109375" style="13" customWidth="1"/>
    <col min="4354" max="4355" width="10" style="13" customWidth="1"/>
    <col min="4356" max="4356" width="10.88671875" style="13" bestFit="1" customWidth="1"/>
    <col min="4357" max="4594" width="8.88671875" style="13"/>
    <col min="4595" max="4595" width="66.5546875" style="13" bestFit="1" customWidth="1"/>
    <col min="4596" max="4596" width="11.5546875" style="13" bestFit="1" customWidth="1"/>
    <col min="4597" max="4597" width="8.88671875" style="13" bestFit="1" customWidth="1"/>
    <col min="4598" max="4598" width="10" style="13" customWidth="1"/>
    <col min="4599" max="4599" width="12.109375" style="13" bestFit="1" customWidth="1"/>
    <col min="4600" max="4600" width="13.88671875" style="13" bestFit="1" customWidth="1"/>
    <col min="4601" max="4601" width="13.44140625" style="13" customWidth="1"/>
    <col min="4602" max="4602" width="12.109375" style="13" customWidth="1"/>
    <col min="4603" max="4603" width="11.88671875" style="13" customWidth="1"/>
    <col min="4604" max="4604" width="12.44140625" style="13" customWidth="1"/>
    <col min="4605" max="4605" width="11.44140625" style="13" customWidth="1"/>
    <col min="4606" max="4606" width="13.109375" style="13" bestFit="1" customWidth="1"/>
    <col min="4607" max="4607" width="9.5546875" style="13" bestFit="1" customWidth="1"/>
    <col min="4608" max="4608" width="11.44140625" style="13" customWidth="1"/>
    <col min="4609" max="4609" width="9.109375" style="13" customWidth="1"/>
    <col min="4610" max="4611" width="10" style="13" customWidth="1"/>
    <col min="4612" max="4612" width="10.88671875" style="13" bestFit="1" customWidth="1"/>
    <col min="4613" max="4850" width="8.88671875" style="13"/>
    <col min="4851" max="4851" width="66.5546875" style="13" bestFit="1" customWidth="1"/>
    <col min="4852" max="4852" width="11.5546875" style="13" bestFit="1" customWidth="1"/>
    <col min="4853" max="4853" width="8.88671875" style="13" bestFit="1" customWidth="1"/>
    <col min="4854" max="4854" width="10" style="13" customWidth="1"/>
    <col min="4855" max="4855" width="12.109375" style="13" bestFit="1" customWidth="1"/>
    <col min="4856" max="4856" width="13.88671875" style="13" bestFit="1" customWidth="1"/>
    <col min="4857" max="4857" width="13.44140625" style="13" customWidth="1"/>
    <col min="4858" max="4858" width="12.109375" style="13" customWidth="1"/>
    <col min="4859" max="4859" width="11.88671875" style="13" customWidth="1"/>
    <col min="4860" max="4860" width="12.44140625" style="13" customWidth="1"/>
    <col min="4861" max="4861" width="11.44140625" style="13" customWidth="1"/>
    <col min="4862" max="4862" width="13.109375" style="13" bestFit="1" customWidth="1"/>
    <col min="4863" max="4863" width="9.5546875" style="13" bestFit="1" customWidth="1"/>
    <col min="4864" max="4864" width="11.44140625" style="13" customWidth="1"/>
    <col min="4865" max="4865" width="9.109375" style="13" customWidth="1"/>
    <col min="4866" max="4867" width="10" style="13" customWidth="1"/>
    <col min="4868" max="4868" width="10.88671875" style="13" bestFit="1" customWidth="1"/>
    <col min="4869" max="5106" width="8.88671875" style="13"/>
    <col min="5107" max="5107" width="66.5546875" style="13" bestFit="1" customWidth="1"/>
    <col min="5108" max="5108" width="11.5546875" style="13" bestFit="1" customWidth="1"/>
    <col min="5109" max="5109" width="8.88671875" style="13" bestFit="1" customWidth="1"/>
    <col min="5110" max="5110" width="10" style="13" customWidth="1"/>
    <col min="5111" max="5111" width="12.109375" style="13" bestFit="1" customWidth="1"/>
    <col min="5112" max="5112" width="13.88671875" style="13" bestFit="1" customWidth="1"/>
    <col min="5113" max="5113" width="13.44140625" style="13" customWidth="1"/>
    <col min="5114" max="5114" width="12.109375" style="13" customWidth="1"/>
    <col min="5115" max="5115" width="11.88671875" style="13" customWidth="1"/>
    <col min="5116" max="5116" width="12.44140625" style="13" customWidth="1"/>
    <col min="5117" max="5117" width="11.44140625" style="13" customWidth="1"/>
    <col min="5118" max="5118" width="13.109375" style="13" bestFit="1" customWidth="1"/>
    <col min="5119" max="5119" width="9.5546875" style="13" bestFit="1" customWidth="1"/>
    <col min="5120" max="5120" width="11.44140625" style="13" customWidth="1"/>
    <col min="5121" max="5121" width="9.109375" style="13" customWidth="1"/>
    <col min="5122" max="5123" width="10" style="13" customWidth="1"/>
    <col min="5124" max="5124" width="10.88671875" style="13" bestFit="1" customWidth="1"/>
    <col min="5125" max="5362" width="8.88671875" style="13"/>
    <col min="5363" max="5363" width="66.5546875" style="13" bestFit="1" customWidth="1"/>
    <col min="5364" max="5364" width="11.5546875" style="13" bestFit="1" customWidth="1"/>
    <col min="5365" max="5365" width="8.88671875" style="13" bestFit="1" customWidth="1"/>
    <col min="5366" max="5366" width="10" style="13" customWidth="1"/>
    <col min="5367" max="5367" width="12.109375" style="13" bestFit="1" customWidth="1"/>
    <col min="5368" max="5368" width="13.88671875" style="13" bestFit="1" customWidth="1"/>
    <col min="5369" max="5369" width="13.44140625" style="13" customWidth="1"/>
    <col min="5370" max="5370" width="12.109375" style="13" customWidth="1"/>
    <col min="5371" max="5371" width="11.88671875" style="13" customWidth="1"/>
    <col min="5372" max="5372" width="12.44140625" style="13" customWidth="1"/>
    <col min="5373" max="5373" width="11.44140625" style="13" customWidth="1"/>
    <col min="5374" max="5374" width="13.109375" style="13" bestFit="1" customWidth="1"/>
    <col min="5375" max="5375" width="9.5546875" style="13" bestFit="1" customWidth="1"/>
    <col min="5376" max="5376" width="11.44140625" style="13" customWidth="1"/>
    <col min="5377" max="5377" width="9.109375" style="13" customWidth="1"/>
    <col min="5378" max="5379" width="10" style="13" customWidth="1"/>
    <col min="5380" max="5380" width="10.88671875" style="13" bestFit="1" customWidth="1"/>
    <col min="5381" max="5618" width="8.88671875" style="13"/>
    <col min="5619" max="5619" width="66.5546875" style="13" bestFit="1" customWidth="1"/>
    <col min="5620" max="5620" width="11.5546875" style="13" bestFit="1" customWidth="1"/>
    <col min="5621" max="5621" width="8.88671875" style="13" bestFit="1" customWidth="1"/>
    <col min="5622" max="5622" width="10" style="13" customWidth="1"/>
    <col min="5623" max="5623" width="12.109375" style="13" bestFit="1" customWidth="1"/>
    <col min="5624" max="5624" width="13.88671875" style="13" bestFit="1" customWidth="1"/>
    <col min="5625" max="5625" width="13.44140625" style="13" customWidth="1"/>
    <col min="5626" max="5626" width="12.109375" style="13" customWidth="1"/>
    <col min="5627" max="5627" width="11.88671875" style="13" customWidth="1"/>
    <col min="5628" max="5628" width="12.44140625" style="13" customWidth="1"/>
    <col min="5629" max="5629" width="11.44140625" style="13" customWidth="1"/>
    <col min="5630" max="5630" width="13.109375" style="13" bestFit="1" customWidth="1"/>
    <col min="5631" max="5631" width="9.5546875" style="13" bestFit="1" customWidth="1"/>
    <col min="5632" max="5632" width="11.44140625" style="13" customWidth="1"/>
    <col min="5633" max="5633" width="9.109375" style="13" customWidth="1"/>
    <col min="5634" max="5635" width="10" style="13" customWidth="1"/>
    <col min="5636" max="5636" width="10.88671875" style="13" bestFit="1" customWidth="1"/>
    <col min="5637" max="5874" width="8.88671875" style="13"/>
    <col min="5875" max="5875" width="66.5546875" style="13" bestFit="1" customWidth="1"/>
    <col min="5876" max="5876" width="11.5546875" style="13" bestFit="1" customWidth="1"/>
    <col min="5877" max="5877" width="8.88671875" style="13" bestFit="1" customWidth="1"/>
    <col min="5878" max="5878" width="10" style="13" customWidth="1"/>
    <col min="5879" max="5879" width="12.109375" style="13" bestFit="1" customWidth="1"/>
    <col min="5880" max="5880" width="13.88671875" style="13" bestFit="1" customWidth="1"/>
    <col min="5881" max="5881" width="13.44140625" style="13" customWidth="1"/>
    <col min="5882" max="5882" width="12.109375" style="13" customWidth="1"/>
    <col min="5883" max="5883" width="11.88671875" style="13" customWidth="1"/>
    <col min="5884" max="5884" width="12.44140625" style="13" customWidth="1"/>
    <col min="5885" max="5885" width="11.44140625" style="13" customWidth="1"/>
    <col min="5886" max="5886" width="13.109375" style="13" bestFit="1" customWidth="1"/>
    <col min="5887" max="5887" width="9.5546875" style="13" bestFit="1" customWidth="1"/>
    <col min="5888" max="5888" width="11.44140625" style="13" customWidth="1"/>
    <col min="5889" max="5889" width="9.109375" style="13" customWidth="1"/>
    <col min="5890" max="5891" width="10" style="13" customWidth="1"/>
    <col min="5892" max="5892" width="10.88671875" style="13" bestFit="1" customWidth="1"/>
    <col min="5893" max="6130" width="8.88671875" style="13"/>
    <col min="6131" max="6131" width="66.5546875" style="13" bestFit="1" customWidth="1"/>
    <col min="6132" max="6132" width="11.5546875" style="13" bestFit="1" customWidth="1"/>
    <col min="6133" max="6133" width="8.88671875" style="13" bestFit="1" customWidth="1"/>
    <col min="6134" max="6134" width="10" style="13" customWidth="1"/>
    <col min="6135" max="6135" width="12.109375" style="13" bestFit="1" customWidth="1"/>
    <col min="6136" max="6136" width="13.88671875" style="13" bestFit="1" customWidth="1"/>
    <col min="6137" max="6137" width="13.44140625" style="13" customWidth="1"/>
    <col min="6138" max="6138" width="12.109375" style="13" customWidth="1"/>
    <col min="6139" max="6139" width="11.88671875" style="13" customWidth="1"/>
    <col min="6140" max="6140" width="12.44140625" style="13" customWidth="1"/>
    <col min="6141" max="6141" width="11.44140625" style="13" customWidth="1"/>
    <col min="6142" max="6142" width="13.109375" style="13" bestFit="1" customWidth="1"/>
    <col min="6143" max="6143" width="9.5546875" style="13" bestFit="1" customWidth="1"/>
    <col min="6144" max="6144" width="11.44140625" style="13" customWidth="1"/>
    <col min="6145" max="6145" width="9.109375" style="13" customWidth="1"/>
    <col min="6146" max="6147" width="10" style="13" customWidth="1"/>
    <col min="6148" max="6148" width="10.88671875" style="13" bestFit="1" customWidth="1"/>
    <col min="6149" max="6386" width="8.88671875" style="13"/>
    <col min="6387" max="6387" width="66.5546875" style="13" bestFit="1" customWidth="1"/>
    <col min="6388" max="6388" width="11.5546875" style="13" bestFit="1" customWidth="1"/>
    <col min="6389" max="6389" width="8.88671875" style="13" bestFit="1" customWidth="1"/>
    <col min="6390" max="6390" width="10" style="13" customWidth="1"/>
    <col min="6391" max="6391" width="12.109375" style="13" bestFit="1" customWidth="1"/>
    <col min="6392" max="6392" width="13.88671875" style="13" bestFit="1" customWidth="1"/>
    <col min="6393" max="6393" width="13.44140625" style="13" customWidth="1"/>
    <col min="6394" max="6394" width="12.109375" style="13" customWidth="1"/>
    <col min="6395" max="6395" width="11.88671875" style="13" customWidth="1"/>
    <col min="6396" max="6396" width="12.44140625" style="13" customWidth="1"/>
    <col min="6397" max="6397" width="11.44140625" style="13" customWidth="1"/>
    <col min="6398" max="6398" width="13.109375" style="13" bestFit="1" customWidth="1"/>
    <col min="6399" max="6399" width="9.5546875" style="13" bestFit="1" customWidth="1"/>
    <col min="6400" max="6400" width="11.44140625" style="13" customWidth="1"/>
    <col min="6401" max="6401" width="9.109375" style="13" customWidth="1"/>
    <col min="6402" max="6403" width="10" style="13" customWidth="1"/>
    <col min="6404" max="6404" width="10.88671875" style="13" bestFit="1" customWidth="1"/>
    <col min="6405" max="6642" width="8.88671875" style="13"/>
    <col min="6643" max="6643" width="66.5546875" style="13" bestFit="1" customWidth="1"/>
    <col min="6644" max="6644" width="11.5546875" style="13" bestFit="1" customWidth="1"/>
    <col min="6645" max="6645" width="8.88671875" style="13" bestFit="1" customWidth="1"/>
    <col min="6646" max="6646" width="10" style="13" customWidth="1"/>
    <col min="6647" max="6647" width="12.109375" style="13" bestFit="1" customWidth="1"/>
    <col min="6648" max="6648" width="13.88671875" style="13" bestFit="1" customWidth="1"/>
    <col min="6649" max="6649" width="13.44140625" style="13" customWidth="1"/>
    <col min="6650" max="6650" width="12.109375" style="13" customWidth="1"/>
    <col min="6651" max="6651" width="11.88671875" style="13" customWidth="1"/>
    <col min="6652" max="6652" width="12.44140625" style="13" customWidth="1"/>
    <col min="6653" max="6653" width="11.44140625" style="13" customWidth="1"/>
    <col min="6654" max="6654" width="13.109375" style="13" bestFit="1" customWidth="1"/>
    <col min="6655" max="6655" width="9.5546875" style="13" bestFit="1" customWidth="1"/>
    <col min="6656" max="6656" width="11.44140625" style="13" customWidth="1"/>
    <col min="6657" max="6657" width="9.109375" style="13" customWidth="1"/>
    <col min="6658" max="6659" width="10" style="13" customWidth="1"/>
    <col min="6660" max="6660" width="10.88671875" style="13" bestFit="1" customWidth="1"/>
    <col min="6661" max="6898" width="8.88671875" style="13"/>
    <col min="6899" max="6899" width="66.5546875" style="13" bestFit="1" customWidth="1"/>
    <col min="6900" max="6900" width="11.5546875" style="13" bestFit="1" customWidth="1"/>
    <col min="6901" max="6901" width="8.88671875" style="13" bestFit="1" customWidth="1"/>
    <col min="6902" max="6902" width="10" style="13" customWidth="1"/>
    <col min="6903" max="6903" width="12.109375" style="13" bestFit="1" customWidth="1"/>
    <col min="6904" max="6904" width="13.88671875" style="13" bestFit="1" customWidth="1"/>
    <col min="6905" max="6905" width="13.44140625" style="13" customWidth="1"/>
    <col min="6906" max="6906" width="12.109375" style="13" customWidth="1"/>
    <col min="6907" max="6907" width="11.88671875" style="13" customWidth="1"/>
    <col min="6908" max="6908" width="12.44140625" style="13" customWidth="1"/>
    <col min="6909" max="6909" width="11.44140625" style="13" customWidth="1"/>
    <col min="6910" max="6910" width="13.109375" style="13" bestFit="1" customWidth="1"/>
    <col min="6911" max="6911" width="9.5546875" style="13" bestFit="1" customWidth="1"/>
    <col min="6912" max="6912" width="11.44140625" style="13" customWidth="1"/>
    <col min="6913" max="6913" width="9.109375" style="13" customWidth="1"/>
    <col min="6914" max="6915" width="10" style="13" customWidth="1"/>
    <col min="6916" max="6916" width="10.88671875" style="13" bestFit="1" customWidth="1"/>
    <col min="6917" max="7154" width="8.88671875" style="13"/>
    <col min="7155" max="7155" width="66.5546875" style="13" bestFit="1" customWidth="1"/>
    <col min="7156" max="7156" width="11.5546875" style="13" bestFit="1" customWidth="1"/>
    <col min="7157" max="7157" width="8.88671875" style="13" bestFit="1" customWidth="1"/>
    <col min="7158" max="7158" width="10" style="13" customWidth="1"/>
    <col min="7159" max="7159" width="12.109375" style="13" bestFit="1" customWidth="1"/>
    <col min="7160" max="7160" width="13.88671875" style="13" bestFit="1" customWidth="1"/>
    <col min="7161" max="7161" width="13.44140625" style="13" customWidth="1"/>
    <col min="7162" max="7162" width="12.109375" style="13" customWidth="1"/>
    <col min="7163" max="7163" width="11.88671875" style="13" customWidth="1"/>
    <col min="7164" max="7164" width="12.44140625" style="13" customWidth="1"/>
    <col min="7165" max="7165" width="11.44140625" style="13" customWidth="1"/>
    <col min="7166" max="7166" width="13.109375" style="13" bestFit="1" customWidth="1"/>
    <col min="7167" max="7167" width="9.5546875" style="13" bestFit="1" customWidth="1"/>
    <col min="7168" max="7168" width="11.44140625" style="13" customWidth="1"/>
    <col min="7169" max="7169" width="9.109375" style="13" customWidth="1"/>
    <col min="7170" max="7171" width="10" style="13" customWidth="1"/>
    <col min="7172" max="7172" width="10.88671875" style="13" bestFit="1" customWidth="1"/>
    <col min="7173" max="7410" width="8.88671875" style="13"/>
    <col min="7411" max="7411" width="66.5546875" style="13" bestFit="1" customWidth="1"/>
    <col min="7412" max="7412" width="11.5546875" style="13" bestFit="1" customWidth="1"/>
    <col min="7413" max="7413" width="8.88671875" style="13" bestFit="1" customWidth="1"/>
    <col min="7414" max="7414" width="10" style="13" customWidth="1"/>
    <col min="7415" max="7415" width="12.109375" style="13" bestFit="1" customWidth="1"/>
    <col min="7416" max="7416" width="13.88671875" style="13" bestFit="1" customWidth="1"/>
    <col min="7417" max="7417" width="13.44140625" style="13" customWidth="1"/>
    <col min="7418" max="7418" width="12.109375" style="13" customWidth="1"/>
    <col min="7419" max="7419" width="11.88671875" style="13" customWidth="1"/>
    <col min="7420" max="7420" width="12.44140625" style="13" customWidth="1"/>
    <col min="7421" max="7421" width="11.44140625" style="13" customWidth="1"/>
    <col min="7422" max="7422" width="13.109375" style="13" bestFit="1" customWidth="1"/>
    <col min="7423" max="7423" width="9.5546875" style="13" bestFit="1" customWidth="1"/>
    <col min="7424" max="7424" width="11.44140625" style="13" customWidth="1"/>
    <col min="7425" max="7425" width="9.109375" style="13" customWidth="1"/>
    <col min="7426" max="7427" width="10" style="13" customWidth="1"/>
    <col min="7428" max="7428" width="10.88671875" style="13" bestFit="1" customWidth="1"/>
    <col min="7429" max="7666" width="8.88671875" style="13"/>
    <col min="7667" max="7667" width="66.5546875" style="13" bestFit="1" customWidth="1"/>
    <col min="7668" max="7668" width="11.5546875" style="13" bestFit="1" customWidth="1"/>
    <col min="7669" max="7669" width="8.88671875" style="13" bestFit="1" customWidth="1"/>
    <col min="7670" max="7670" width="10" style="13" customWidth="1"/>
    <col min="7671" max="7671" width="12.109375" style="13" bestFit="1" customWidth="1"/>
    <col min="7672" max="7672" width="13.88671875" style="13" bestFit="1" customWidth="1"/>
    <col min="7673" max="7673" width="13.44140625" style="13" customWidth="1"/>
    <col min="7674" max="7674" width="12.109375" style="13" customWidth="1"/>
    <col min="7675" max="7675" width="11.88671875" style="13" customWidth="1"/>
    <col min="7676" max="7676" width="12.44140625" style="13" customWidth="1"/>
    <col min="7677" max="7677" width="11.44140625" style="13" customWidth="1"/>
    <col min="7678" max="7678" width="13.109375" style="13" bestFit="1" customWidth="1"/>
    <col min="7679" max="7679" width="9.5546875" style="13" bestFit="1" customWidth="1"/>
    <col min="7680" max="7680" width="11.44140625" style="13" customWidth="1"/>
    <col min="7681" max="7681" width="9.109375" style="13" customWidth="1"/>
    <col min="7682" max="7683" width="10" style="13" customWidth="1"/>
    <col min="7684" max="7684" width="10.88671875" style="13" bestFit="1" customWidth="1"/>
    <col min="7685" max="7922" width="8.88671875" style="13"/>
    <col min="7923" max="7923" width="66.5546875" style="13" bestFit="1" customWidth="1"/>
    <col min="7924" max="7924" width="11.5546875" style="13" bestFit="1" customWidth="1"/>
    <col min="7925" max="7925" width="8.88671875" style="13" bestFit="1" customWidth="1"/>
    <col min="7926" max="7926" width="10" style="13" customWidth="1"/>
    <col min="7927" max="7927" width="12.109375" style="13" bestFit="1" customWidth="1"/>
    <col min="7928" max="7928" width="13.88671875" style="13" bestFit="1" customWidth="1"/>
    <col min="7929" max="7929" width="13.44140625" style="13" customWidth="1"/>
    <col min="7930" max="7930" width="12.109375" style="13" customWidth="1"/>
    <col min="7931" max="7931" width="11.88671875" style="13" customWidth="1"/>
    <col min="7932" max="7932" width="12.44140625" style="13" customWidth="1"/>
    <col min="7933" max="7933" width="11.44140625" style="13" customWidth="1"/>
    <col min="7934" max="7934" width="13.109375" style="13" bestFit="1" customWidth="1"/>
    <col min="7935" max="7935" width="9.5546875" style="13" bestFit="1" customWidth="1"/>
    <col min="7936" max="7936" width="11.44140625" style="13" customWidth="1"/>
    <col min="7937" max="7937" width="9.109375" style="13" customWidth="1"/>
    <col min="7938" max="7939" width="10" style="13" customWidth="1"/>
    <col min="7940" max="7940" width="10.88671875" style="13" bestFit="1" customWidth="1"/>
    <col min="7941" max="8178" width="8.88671875" style="13"/>
    <col min="8179" max="8179" width="66.5546875" style="13" bestFit="1" customWidth="1"/>
    <col min="8180" max="8180" width="11.5546875" style="13" bestFit="1" customWidth="1"/>
    <col min="8181" max="8181" width="8.88671875" style="13" bestFit="1" customWidth="1"/>
    <col min="8182" max="8182" width="10" style="13" customWidth="1"/>
    <col min="8183" max="8183" width="12.109375" style="13" bestFit="1" customWidth="1"/>
    <col min="8184" max="8184" width="13.88671875" style="13" bestFit="1" customWidth="1"/>
    <col min="8185" max="8185" width="13.44140625" style="13" customWidth="1"/>
    <col min="8186" max="8186" width="12.109375" style="13" customWidth="1"/>
    <col min="8187" max="8187" width="11.88671875" style="13" customWidth="1"/>
    <col min="8188" max="8188" width="12.44140625" style="13" customWidth="1"/>
    <col min="8189" max="8189" width="11.44140625" style="13" customWidth="1"/>
    <col min="8190" max="8190" width="13.109375" style="13" bestFit="1" customWidth="1"/>
    <col min="8191" max="8191" width="9.5546875" style="13" bestFit="1" customWidth="1"/>
    <col min="8192" max="8192" width="11.44140625" style="13" customWidth="1"/>
    <col min="8193" max="8193" width="9.109375" style="13" customWidth="1"/>
    <col min="8194" max="8195" width="10" style="13" customWidth="1"/>
    <col min="8196" max="8196" width="10.88671875" style="13" bestFit="1" customWidth="1"/>
    <col min="8197" max="8434" width="8.88671875" style="13"/>
    <col min="8435" max="8435" width="66.5546875" style="13" bestFit="1" customWidth="1"/>
    <col min="8436" max="8436" width="11.5546875" style="13" bestFit="1" customWidth="1"/>
    <col min="8437" max="8437" width="8.88671875" style="13" bestFit="1" customWidth="1"/>
    <col min="8438" max="8438" width="10" style="13" customWidth="1"/>
    <col min="8439" max="8439" width="12.109375" style="13" bestFit="1" customWidth="1"/>
    <col min="8440" max="8440" width="13.88671875" style="13" bestFit="1" customWidth="1"/>
    <col min="8441" max="8441" width="13.44140625" style="13" customWidth="1"/>
    <col min="8442" max="8442" width="12.109375" style="13" customWidth="1"/>
    <col min="8443" max="8443" width="11.88671875" style="13" customWidth="1"/>
    <col min="8444" max="8444" width="12.44140625" style="13" customWidth="1"/>
    <col min="8445" max="8445" width="11.44140625" style="13" customWidth="1"/>
    <col min="8446" max="8446" width="13.109375" style="13" bestFit="1" customWidth="1"/>
    <col min="8447" max="8447" width="9.5546875" style="13" bestFit="1" customWidth="1"/>
    <col min="8448" max="8448" width="11.44140625" style="13" customWidth="1"/>
    <col min="8449" max="8449" width="9.109375" style="13" customWidth="1"/>
    <col min="8450" max="8451" width="10" style="13" customWidth="1"/>
    <col min="8452" max="8452" width="10.88671875" style="13" bestFit="1" customWidth="1"/>
    <col min="8453" max="8690" width="8.88671875" style="13"/>
    <col min="8691" max="8691" width="66.5546875" style="13" bestFit="1" customWidth="1"/>
    <col min="8692" max="8692" width="11.5546875" style="13" bestFit="1" customWidth="1"/>
    <col min="8693" max="8693" width="8.88671875" style="13" bestFit="1" customWidth="1"/>
    <col min="8694" max="8694" width="10" style="13" customWidth="1"/>
    <col min="8695" max="8695" width="12.109375" style="13" bestFit="1" customWidth="1"/>
    <col min="8696" max="8696" width="13.88671875" style="13" bestFit="1" customWidth="1"/>
    <col min="8697" max="8697" width="13.44140625" style="13" customWidth="1"/>
    <col min="8698" max="8698" width="12.109375" style="13" customWidth="1"/>
    <col min="8699" max="8699" width="11.88671875" style="13" customWidth="1"/>
    <col min="8700" max="8700" width="12.44140625" style="13" customWidth="1"/>
    <col min="8701" max="8701" width="11.44140625" style="13" customWidth="1"/>
    <col min="8702" max="8702" width="13.109375" style="13" bestFit="1" customWidth="1"/>
    <col min="8703" max="8703" width="9.5546875" style="13" bestFit="1" customWidth="1"/>
    <col min="8704" max="8704" width="11.44140625" style="13" customWidth="1"/>
    <col min="8705" max="8705" width="9.109375" style="13" customWidth="1"/>
    <col min="8706" max="8707" width="10" style="13" customWidth="1"/>
    <col min="8708" max="8708" width="10.88671875" style="13" bestFit="1" customWidth="1"/>
    <col min="8709" max="8946" width="8.88671875" style="13"/>
    <col min="8947" max="8947" width="66.5546875" style="13" bestFit="1" customWidth="1"/>
    <col min="8948" max="8948" width="11.5546875" style="13" bestFit="1" customWidth="1"/>
    <col min="8949" max="8949" width="8.88671875" style="13" bestFit="1" customWidth="1"/>
    <col min="8950" max="8950" width="10" style="13" customWidth="1"/>
    <col min="8951" max="8951" width="12.109375" style="13" bestFit="1" customWidth="1"/>
    <col min="8952" max="8952" width="13.88671875" style="13" bestFit="1" customWidth="1"/>
    <col min="8953" max="8953" width="13.44140625" style="13" customWidth="1"/>
    <col min="8954" max="8954" width="12.109375" style="13" customWidth="1"/>
    <col min="8955" max="8955" width="11.88671875" style="13" customWidth="1"/>
    <col min="8956" max="8956" width="12.44140625" style="13" customWidth="1"/>
    <col min="8957" max="8957" width="11.44140625" style="13" customWidth="1"/>
    <col min="8958" max="8958" width="13.109375" style="13" bestFit="1" customWidth="1"/>
    <col min="8959" max="8959" width="9.5546875" style="13" bestFit="1" customWidth="1"/>
    <col min="8960" max="8960" width="11.44140625" style="13" customWidth="1"/>
    <col min="8961" max="8961" width="9.109375" style="13" customWidth="1"/>
    <col min="8962" max="8963" width="10" style="13" customWidth="1"/>
    <col min="8964" max="8964" width="10.88671875" style="13" bestFit="1" customWidth="1"/>
    <col min="8965" max="9202" width="8.88671875" style="13"/>
    <col min="9203" max="9203" width="66.5546875" style="13" bestFit="1" customWidth="1"/>
    <col min="9204" max="9204" width="11.5546875" style="13" bestFit="1" customWidth="1"/>
    <col min="9205" max="9205" width="8.88671875" style="13" bestFit="1" customWidth="1"/>
    <col min="9206" max="9206" width="10" style="13" customWidth="1"/>
    <col min="9207" max="9207" width="12.109375" style="13" bestFit="1" customWidth="1"/>
    <col min="9208" max="9208" width="13.88671875" style="13" bestFit="1" customWidth="1"/>
    <col min="9209" max="9209" width="13.44140625" style="13" customWidth="1"/>
    <col min="9210" max="9210" width="12.109375" style="13" customWidth="1"/>
    <col min="9211" max="9211" width="11.88671875" style="13" customWidth="1"/>
    <col min="9212" max="9212" width="12.44140625" style="13" customWidth="1"/>
    <col min="9213" max="9213" width="11.44140625" style="13" customWidth="1"/>
    <col min="9214" max="9214" width="13.109375" style="13" bestFit="1" customWidth="1"/>
    <col min="9215" max="9215" width="9.5546875" style="13" bestFit="1" customWidth="1"/>
    <col min="9216" max="9216" width="11.44140625" style="13" customWidth="1"/>
    <col min="9217" max="9217" width="9.109375" style="13" customWidth="1"/>
    <col min="9218" max="9219" width="10" style="13" customWidth="1"/>
    <col min="9220" max="9220" width="10.88671875" style="13" bestFit="1" customWidth="1"/>
    <col min="9221" max="9458" width="8.88671875" style="13"/>
    <col min="9459" max="9459" width="66.5546875" style="13" bestFit="1" customWidth="1"/>
    <col min="9460" max="9460" width="11.5546875" style="13" bestFit="1" customWidth="1"/>
    <col min="9461" max="9461" width="8.88671875" style="13" bestFit="1" customWidth="1"/>
    <col min="9462" max="9462" width="10" style="13" customWidth="1"/>
    <col min="9463" max="9463" width="12.109375" style="13" bestFit="1" customWidth="1"/>
    <col min="9464" max="9464" width="13.88671875" style="13" bestFit="1" customWidth="1"/>
    <col min="9465" max="9465" width="13.44140625" style="13" customWidth="1"/>
    <col min="9466" max="9466" width="12.109375" style="13" customWidth="1"/>
    <col min="9467" max="9467" width="11.88671875" style="13" customWidth="1"/>
    <col min="9468" max="9468" width="12.44140625" style="13" customWidth="1"/>
    <col min="9469" max="9469" width="11.44140625" style="13" customWidth="1"/>
    <col min="9470" max="9470" width="13.109375" style="13" bestFit="1" customWidth="1"/>
    <col min="9471" max="9471" width="9.5546875" style="13" bestFit="1" customWidth="1"/>
    <col min="9472" max="9472" width="11.44140625" style="13" customWidth="1"/>
    <col min="9473" max="9473" width="9.109375" style="13" customWidth="1"/>
    <col min="9474" max="9475" width="10" style="13" customWidth="1"/>
    <col min="9476" max="9476" width="10.88671875" style="13" bestFit="1" customWidth="1"/>
    <col min="9477" max="9714" width="8.88671875" style="13"/>
    <col min="9715" max="9715" width="66.5546875" style="13" bestFit="1" customWidth="1"/>
    <col min="9716" max="9716" width="11.5546875" style="13" bestFit="1" customWidth="1"/>
    <col min="9717" max="9717" width="8.88671875" style="13" bestFit="1" customWidth="1"/>
    <col min="9718" max="9718" width="10" style="13" customWidth="1"/>
    <col min="9719" max="9719" width="12.109375" style="13" bestFit="1" customWidth="1"/>
    <col min="9720" max="9720" width="13.88671875" style="13" bestFit="1" customWidth="1"/>
    <col min="9721" max="9721" width="13.44140625" style="13" customWidth="1"/>
    <col min="9722" max="9722" width="12.109375" style="13" customWidth="1"/>
    <col min="9723" max="9723" width="11.88671875" style="13" customWidth="1"/>
    <col min="9724" max="9724" width="12.44140625" style="13" customWidth="1"/>
    <col min="9725" max="9725" width="11.44140625" style="13" customWidth="1"/>
    <col min="9726" max="9726" width="13.109375" style="13" bestFit="1" customWidth="1"/>
    <col min="9727" max="9727" width="9.5546875" style="13" bestFit="1" customWidth="1"/>
    <col min="9728" max="9728" width="11.44140625" style="13" customWidth="1"/>
    <col min="9729" max="9729" width="9.109375" style="13" customWidth="1"/>
    <col min="9730" max="9731" width="10" style="13" customWidth="1"/>
    <col min="9732" max="9732" width="10.88671875" style="13" bestFit="1" customWidth="1"/>
    <col min="9733" max="9970" width="8.88671875" style="13"/>
    <col min="9971" max="9971" width="66.5546875" style="13" bestFit="1" customWidth="1"/>
    <col min="9972" max="9972" width="11.5546875" style="13" bestFit="1" customWidth="1"/>
    <col min="9973" max="9973" width="8.88671875" style="13" bestFit="1" customWidth="1"/>
    <col min="9974" max="9974" width="10" style="13" customWidth="1"/>
    <col min="9975" max="9975" width="12.109375" style="13" bestFit="1" customWidth="1"/>
    <col min="9976" max="9976" width="13.88671875" style="13" bestFit="1" customWidth="1"/>
    <col min="9977" max="9977" width="13.44140625" style="13" customWidth="1"/>
    <col min="9978" max="9978" width="12.109375" style="13" customWidth="1"/>
    <col min="9979" max="9979" width="11.88671875" style="13" customWidth="1"/>
    <col min="9980" max="9980" width="12.44140625" style="13" customWidth="1"/>
    <col min="9981" max="9981" width="11.44140625" style="13" customWidth="1"/>
    <col min="9982" max="9982" width="13.109375" style="13" bestFit="1" customWidth="1"/>
    <col min="9983" max="9983" width="9.5546875" style="13" bestFit="1" customWidth="1"/>
    <col min="9984" max="9984" width="11.44140625" style="13" customWidth="1"/>
    <col min="9985" max="9985" width="9.109375" style="13" customWidth="1"/>
    <col min="9986" max="9987" width="10" style="13" customWidth="1"/>
    <col min="9988" max="9988" width="10.88671875" style="13" bestFit="1" customWidth="1"/>
    <col min="9989" max="10226" width="8.88671875" style="13"/>
    <col min="10227" max="10227" width="66.5546875" style="13" bestFit="1" customWidth="1"/>
    <col min="10228" max="10228" width="11.5546875" style="13" bestFit="1" customWidth="1"/>
    <col min="10229" max="10229" width="8.88671875" style="13" bestFit="1" customWidth="1"/>
    <col min="10230" max="10230" width="10" style="13" customWidth="1"/>
    <col min="10231" max="10231" width="12.109375" style="13" bestFit="1" customWidth="1"/>
    <col min="10232" max="10232" width="13.88671875" style="13" bestFit="1" customWidth="1"/>
    <col min="10233" max="10233" width="13.44140625" style="13" customWidth="1"/>
    <col min="10234" max="10234" width="12.109375" style="13" customWidth="1"/>
    <col min="10235" max="10235" width="11.88671875" style="13" customWidth="1"/>
    <col min="10236" max="10236" width="12.44140625" style="13" customWidth="1"/>
    <col min="10237" max="10237" width="11.44140625" style="13" customWidth="1"/>
    <col min="10238" max="10238" width="13.109375" style="13" bestFit="1" customWidth="1"/>
    <col min="10239" max="10239" width="9.5546875" style="13" bestFit="1" customWidth="1"/>
    <col min="10240" max="10240" width="11.44140625" style="13" customWidth="1"/>
    <col min="10241" max="10241" width="9.109375" style="13" customWidth="1"/>
    <col min="10242" max="10243" width="10" style="13" customWidth="1"/>
    <col min="10244" max="10244" width="10.88671875" style="13" bestFit="1" customWidth="1"/>
    <col min="10245" max="10482" width="8.88671875" style="13"/>
    <col min="10483" max="10483" width="66.5546875" style="13" bestFit="1" customWidth="1"/>
    <col min="10484" max="10484" width="11.5546875" style="13" bestFit="1" customWidth="1"/>
    <col min="10485" max="10485" width="8.88671875" style="13" bestFit="1" customWidth="1"/>
    <col min="10486" max="10486" width="10" style="13" customWidth="1"/>
    <col min="10487" max="10487" width="12.109375" style="13" bestFit="1" customWidth="1"/>
    <col min="10488" max="10488" width="13.88671875" style="13" bestFit="1" customWidth="1"/>
    <col min="10489" max="10489" width="13.44140625" style="13" customWidth="1"/>
    <col min="10490" max="10490" width="12.109375" style="13" customWidth="1"/>
    <col min="10491" max="10491" width="11.88671875" style="13" customWidth="1"/>
    <col min="10492" max="10492" width="12.44140625" style="13" customWidth="1"/>
    <col min="10493" max="10493" width="11.44140625" style="13" customWidth="1"/>
    <col min="10494" max="10494" width="13.109375" style="13" bestFit="1" customWidth="1"/>
    <col min="10495" max="10495" width="9.5546875" style="13" bestFit="1" customWidth="1"/>
    <col min="10496" max="10496" width="11.44140625" style="13" customWidth="1"/>
    <col min="10497" max="10497" width="9.109375" style="13" customWidth="1"/>
    <col min="10498" max="10499" width="10" style="13" customWidth="1"/>
    <col min="10500" max="10500" width="10.88671875" style="13" bestFit="1" customWidth="1"/>
    <col min="10501" max="10738" width="8.88671875" style="13"/>
    <col min="10739" max="10739" width="66.5546875" style="13" bestFit="1" customWidth="1"/>
    <col min="10740" max="10740" width="11.5546875" style="13" bestFit="1" customWidth="1"/>
    <col min="10741" max="10741" width="8.88671875" style="13" bestFit="1" customWidth="1"/>
    <col min="10742" max="10742" width="10" style="13" customWidth="1"/>
    <col min="10743" max="10743" width="12.109375" style="13" bestFit="1" customWidth="1"/>
    <col min="10744" max="10744" width="13.88671875" style="13" bestFit="1" customWidth="1"/>
    <col min="10745" max="10745" width="13.44140625" style="13" customWidth="1"/>
    <col min="10746" max="10746" width="12.109375" style="13" customWidth="1"/>
    <col min="10747" max="10747" width="11.88671875" style="13" customWidth="1"/>
    <col min="10748" max="10748" width="12.44140625" style="13" customWidth="1"/>
    <col min="10749" max="10749" width="11.44140625" style="13" customWidth="1"/>
    <col min="10750" max="10750" width="13.109375" style="13" bestFit="1" customWidth="1"/>
    <col min="10751" max="10751" width="9.5546875" style="13" bestFit="1" customWidth="1"/>
    <col min="10752" max="10752" width="11.44140625" style="13" customWidth="1"/>
    <col min="10753" max="10753" width="9.109375" style="13" customWidth="1"/>
    <col min="10754" max="10755" width="10" style="13" customWidth="1"/>
    <col min="10756" max="10756" width="10.88671875" style="13" bestFit="1" customWidth="1"/>
    <col min="10757" max="10994" width="8.88671875" style="13"/>
    <col min="10995" max="10995" width="66.5546875" style="13" bestFit="1" customWidth="1"/>
    <col min="10996" max="10996" width="11.5546875" style="13" bestFit="1" customWidth="1"/>
    <col min="10997" max="10997" width="8.88671875" style="13" bestFit="1" customWidth="1"/>
    <col min="10998" max="10998" width="10" style="13" customWidth="1"/>
    <col min="10999" max="10999" width="12.109375" style="13" bestFit="1" customWidth="1"/>
    <col min="11000" max="11000" width="13.88671875" style="13" bestFit="1" customWidth="1"/>
    <col min="11001" max="11001" width="13.44140625" style="13" customWidth="1"/>
    <col min="11002" max="11002" width="12.109375" style="13" customWidth="1"/>
    <col min="11003" max="11003" width="11.88671875" style="13" customWidth="1"/>
    <col min="11004" max="11004" width="12.44140625" style="13" customWidth="1"/>
    <col min="11005" max="11005" width="11.44140625" style="13" customWidth="1"/>
    <col min="11006" max="11006" width="13.109375" style="13" bestFit="1" customWidth="1"/>
    <col min="11007" max="11007" width="9.5546875" style="13" bestFit="1" customWidth="1"/>
    <col min="11008" max="11008" width="11.44140625" style="13" customWidth="1"/>
    <col min="11009" max="11009" width="9.109375" style="13" customWidth="1"/>
    <col min="11010" max="11011" width="10" style="13" customWidth="1"/>
    <col min="11012" max="11012" width="10.88671875" style="13" bestFit="1" customWidth="1"/>
    <col min="11013" max="11250" width="8.88671875" style="13"/>
    <col min="11251" max="11251" width="66.5546875" style="13" bestFit="1" customWidth="1"/>
    <col min="11252" max="11252" width="11.5546875" style="13" bestFit="1" customWidth="1"/>
    <col min="11253" max="11253" width="8.88671875" style="13" bestFit="1" customWidth="1"/>
    <col min="11254" max="11254" width="10" style="13" customWidth="1"/>
    <col min="11255" max="11255" width="12.109375" style="13" bestFit="1" customWidth="1"/>
    <col min="11256" max="11256" width="13.88671875" style="13" bestFit="1" customWidth="1"/>
    <col min="11257" max="11257" width="13.44140625" style="13" customWidth="1"/>
    <col min="11258" max="11258" width="12.109375" style="13" customWidth="1"/>
    <col min="11259" max="11259" width="11.88671875" style="13" customWidth="1"/>
    <col min="11260" max="11260" width="12.44140625" style="13" customWidth="1"/>
    <col min="11261" max="11261" width="11.44140625" style="13" customWidth="1"/>
    <col min="11262" max="11262" width="13.109375" style="13" bestFit="1" customWidth="1"/>
    <col min="11263" max="11263" width="9.5546875" style="13" bestFit="1" customWidth="1"/>
    <col min="11264" max="11264" width="11.44140625" style="13" customWidth="1"/>
    <col min="11265" max="11265" width="9.109375" style="13" customWidth="1"/>
    <col min="11266" max="11267" width="10" style="13" customWidth="1"/>
    <col min="11268" max="11268" width="10.88671875" style="13" bestFit="1" customWidth="1"/>
    <col min="11269" max="11506" width="8.88671875" style="13"/>
    <col min="11507" max="11507" width="66.5546875" style="13" bestFit="1" customWidth="1"/>
    <col min="11508" max="11508" width="11.5546875" style="13" bestFit="1" customWidth="1"/>
    <col min="11509" max="11509" width="8.88671875" style="13" bestFit="1" customWidth="1"/>
    <col min="11510" max="11510" width="10" style="13" customWidth="1"/>
    <col min="11511" max="11511" width="12.109375" style="13" bestFit="1" customWidth="1"/>
    <col min="11512" max="11512" width="13.88671875" style="13" bestFit="1" customWidth="1"/>
    <col min="11513" max="11513" width="13.44140625" style="13" customWidth="1"/>
    <col min="11514" max="11514" width="12.109375" style="13" customWidth="1"/>
    <col min="11515" max="11515" width="11.88671875" style="13" customWidth="1"/>
    <col min="11516" max="11516" width="12.44140625" style="13" customWidth="1"/>
    <col min="11517" max="11517" width="11.44140625" style="13" customWidth="1"/>
    <col min="11518" max="11518" width="13.109375" style="13" bestFit="1" customWidth="1"/>
    <col min="11519" max="11519" width="9.5546875" style="13" bestFit="1" customWidth="1"/>
    <col min="11520" max="11520" width="11.44140625" style="13" customWidth="1"/>
    <col min="11521" max="11521" width="9.109375" style="13" customWidth="1"/>
    <col min="11522" max="11523" width="10" style="13" customWidth="1"/>
    <col min="11524" max="11524" width="10.88671875" style="13" bestFit="1" customWidth="1"/>
    <col min="11525" max="11762" width="8.88671875" style="13"/>
    <col min="11763" max="11763" width="66.5546875" style="13" bestFit="1" customWidth="1"/>
    <col min="11764" max="11764" width="11.5546875" style="13" bestFit="1" customWidth="1"/>
    <col min="11765" max="11765" width="8.88671875" style="13" bestFit="1" customWidth="1"/>
    <col min="11766" max="11766" width="10" style="13" customWidth="1"/>
    <col min="11767" max="11767" width="12.109375" style="13" bestFit="1" customWidth="1"/>
    <col min="11768" max="11768" width="13.88671875" style="13" bestFit="1" customWidth="1"/>
    <col min="11769" max="11769" width="13.44140625" style="13" customWidth="1"/>
    <col min="11770" max="11770" width="12.109375" style="13" customWidth="1"/>
    <col min="11771" max="11771" width="11.88671875" style="13" customWidth="1"/>
    <col min="11772" max="11772" width="12.44140625" style="13" customWidth="1"/>
    <col min="11773" max="11773" width="11.44140625" style="13" customWidth="1"/>
    <col min="11774" max="11774" width="13.109375" style="13" bestFit="1" customWidth="1"/>
    <col min="11775" max="11775" width="9.5546875" style="13" bestFit="1" customWidth="1"/>
    <col min="11776" max="11776" width="11.44140625" style="13" customWidth="1"/>
    <col min="11777" max="11777" width="9.109375" style="13" customWidth="1"/>
    <col min="11778" max="11779" width="10" style="13" customWidth="1"/>
    <col min="11780" max="11780" width="10.88671875" style="13" bestFit="1" customWidth="1"/>
    <col min="11781" max="12018" width="8.88671875" style="13"/>
    <col min="12019" max="12019" width="66.5546875" style="13" bestFit="1" customWidth="1"/>
    <col min="12020" max="12020" width="11.5546875" style="13" bestFit="1" customWidth="1"/>
    <col min="12021" max="12021" width="8.88671875" style="13" bestFit="1" customWidth="1"/>
    <col min="12022" max="12022" width="10" style="13" customWidth="1"/>
    <col min="12023" max="12023" width="12.109375" style="13" bestFit="1" customWidth="1"/>
    <col min="12024" max="12024" width="13.88671875" style="13" bestFit="1" customWidth="1"/>
    <col min="12025" max="12025" width="13.44140625" style="13" customWidth="1"/>
    <col min="12026" max="12026" width="12.109375" style="13" customWidth="1"/>
    <col min="12027" max="12027" width="11.88671875" style="13" customWidth="1"/>
    <col min="12028" max="12028" width="12.44140625" style="13" customWidth="1"/>
    <col min="12029" max="12029" width="11.44140625" style="13" customWidth="1"/>
    <col min="12030" max="12030" width="13.109375" style="13" bestFit="1" customWidth="1"/>
    <col min="12031" max="12031" width="9.5546875" style="13" bestFit="1" customWidth="1"/>
    <col min="12032" max="12032" width="11.44140625" style="13" customWidth="1"/>
    <col min="12033" max="12033" width="9.109375" style="13" customWidth="1"/>
    <col min="12034" max="12035" width="10" style="13" customWidth="1"/>
    <col min="12036" max="12036" width="10.88671875" style="13" bestFit="1" customWidth="1"/>
    <col min="12037" max="12274" width="8.88671875" style="13"/>
    <col min="12275" max="12275" width="66.5546875" style="13" bestFit="1" customWidth="1"/>
    <col min="12276" max="12276" width="11.5546875" style="13" bestFit="1" customWidth="1"/>
    <col min="12277" max="12277" width="8.88671875" style="13" bestFit="1" customWidth="1"/>
    <col min="12278" max="12278" width="10" style="13" customWidth="1"/>
    <col min="12279" max="12279" width="12.109375" style="13" bestFit="1" customWidth="1"/>
    <col min="12280" max="12280" width="13.88671875" style="13" bestFit="1" customWidth="1"/>
    <col min="12281" max="12281" width="13.44140625" style="13" customWidth="1"/>
    <col min="12282" max="12282" width="12.109375" style="13" customWidth="1"/>
    <col min="12283" max="12283" width="11.88671875" style="13" customWidth="1"/>
    <col min="12284" max="12284" width="12.44140625" style="13" customWidth="1"/>
    <col min="12285" max="12285" width="11.44140625" style="13" customWidth="1"/>
    <col min="12286" max="12286" width="13.109375" style="13" bestFit="1" customWidth="1"/>
    <col min="12287" max="12287" width="9.5546875" style="13" bestFit="1" customWidth="1"/>
    <col min="12288" max="12288" width="11.44140625" style="13" customWidth="1"/>
    <col min="12289" max="12289" width="9.109375" style="13" customWidth="1"/>
    <col min="12290" max="12291" width="10" style="13" customWidth="1"/>
    <col min="12292" max="12292" width="10.88671875" style="13" bestFit="1" customWidth="1"/>
    <col min="12293" max="12530" width="8.88671875" style="13"/>
    <col min="12531" max="12531" width="66.5546875" style="13" bestFit="1" customWidth="1"/>
    <col min="12532" max="12532" width="11.5546875" style="13" bestFit="1" customWidth="1"/>
    <col min="12533" max="12533" width="8.88671875" style="13" bestFit="1" customWidth="1"/>
    <col min="12534" max="12534" width="10" style="13" customWidth="1"/>
    <col min="12535" max="12535" width="12.109375" style="13" bestFit="1" customWidth="1"/>
    <col min="12536" max="12536" width="13.88671875" style="13" bestFit="1" customWidth="1"/>
    <col min="12537" max="12537" width="13.44140625" style="13" customWidth="1"/>
    <col min="12538" max="12538" width="12.109375" style="13" customWidth="1"/>
    <col min="12539" max="12539" width="11.88671875" style="13" customWidth="1"/>
    <col min="12540" max="12540" width="12.44140625" style="13" customWidth="1"/>
    <col min="12541" max="12541" width="11.44140625" style="13" customWidth="1"/>
    <col min="12542" max="12542" width="13.109375" style="13" bestFit="1" customWidth="1"/>
    <col min="12543" max="12543" width="9.5546875" style="13" bestFit="1" customWidth="1"/>
    <col min="12544" max="12544" width="11.44140625" style="13" customWidth="1"/>
    <col min="12545" max="12545" width="9.109375" style="13" customWidth="1"/>
    <col min="12546" max="12547" width="10" style="13" customWidth="1"/>
    <col min="12548" max="12548" width="10.88671875" style="13" bestFit="1" customWidth="1"/>
    <col min="12549" max="12786" width="8.88671875" style="13"/>
    <col min="12787" max="12787" width="66.5546875" style="13" bestFit="1" customWidth="1"/>
    <col min="12788" max="12788" width="11.5546875" style="13" bestFit="1" customWidth="1"/>
    <col min="12789" max="12789" width="8.88671875" style="13" bestFit="1" customWidth="1"/>
    <col min="12790" max="12790" width="10" style="13" customWidth="1"/>
    <col min="12791" max="12791" width="12.109375" style="13" bestFit="1" customWidth="1"/>
    <col min="12792" max="12792" width="13.88671875" style="13" bestFit="1" customWidth="1"/>
    <col min="12793" max="12793" width="13.44140625" style="13" customWidth="1"/>
    <col min="12794" max="12794" width="12.109375" style="13" customWidth="1"/>
    <col min="12795" max="12795" width="11.88671875" style="13" customWidth="1"/>
    <col min="12796" max="12796" width="12.44140625" style="13" customWidth="1"/>
    <col min="12797" max="12797" width="11.44140625" style="13" customWidth="1"/>
    <col min="12798" max="12798" width="13.109375" style="13" bestFit="1" customWidth="1"/>
    <col min="12799" max="12799" width="9.5546875" style="13" bestFit="1" customWidth="1"/>
    <col min="12800" max="12800" width="11.44140625" style="13" customWidth="1"/>
    <col min="12801" max="12801" width="9.109375" style="13" customWidth="1"/>
    <col min="12802" max="12803" width="10" style="13" customWidth="1"/>
    <col min="12804" max="12804" width="10.88671875" style="13" bestFit="1" customWidth="1"/>
    <col min="12805" max="13042" width="8.88671875" style="13"/>
    <col min="13043" max="13043" width="66.5546875" style="13" bestFit="1" customWidth="1"/>
    <col min="13044" max="13044" width="11.5546875" style="13" bestFit="1" customWidth="1"/>
    <col min="13045" max="13045" width="8.88671875" style="13" bestFit="1" customWidth="1"/>
    <col min="13046" max="13046" width="10" style="13" customWidth="1"/>
    <col min="13047" max="13047" width="12.109375" style="13" bestFit="1" customWidth="1"/>
    <col min="13048" max="13048" width="13.88671875" style="13" bestFit="1" customWidth="1"/>
    <col min="13049" max="13049" width="13.44140625" style="13" customWidth="1"/>
    <col min="13050" max="13050" width="12.109375" style="13" customWidth="1"/>
    <col min="13051" max="13051" width="11.88671875" style="13" customWidth="1"/>
    <col min="13052" max="13052" width="12.44140625" style="13" customWidth="1"/>
    <col min="13053" max="13053" width="11.44140625" style="13" customWidth="1"/>
    <col min="13054" max="13054" width="13.109375" style="13" bestFit="1" customWidth="1"/>
    <col min="13055" max="13055" width="9.5546875" style="13" bestFit="1" customWidth="1"/>
    <col min="13056" max="13056" width="11.44140625" style="13" customWidth="1"/>
    <col min="13057" max="13057" width="9.109375" style="13" customWidth="1"/>
    <col min="13058" max="13059" width="10" style="13" customWidth="1"/>
    <col min="13060" max="13060" width="10.88671875" style="13" bestFit="1" customWidth="1"/>
    <col min="13061" max="13298" width="8.88671875" style="13"/>
    <col min="13299" max="13299" width="66.5546875" style="13" bestFit="1" customWidth="1"/>
    <col min="13300" max="13300" width="11.5546875" style="13" bestFit="1" customWidth="1"/>
    <col min="13301" max="13301" width="8.88671875" style="13" bestFit="1" customWidth="1"/>
    <col min="13302" max="13302" width="10" style="13" customWidth="1"/>
    <col min="13303" max="13303" width="12.109375" style="13" bestFit="1" customWidth="1"/>
    <col min="13304" max="13304" width="13.88671875" style="13" bestFit="1" customWidth="1"/>
    <col min="13305" max="13305" width="13.44140625" style="13" customWidth="1"/>
    <col min="13306" max="13306" width="12.109375" style="13" customWidth="1"/>
    <col min="13307" max="13307" width="11.88671875" style="13" customWidth="1"/>
    <col min="13308" max="13308" width="12.44140625" style="13" customWidth="1"/>
    <col min="13309" max="13309" width="11.44140625" style="13" customWidth="1"/>
    <col min="13310" max="13310" width="13.109375" style="13" bestFit="1" customWidth="1"/>
    <col min="13311" max="13311" width="9.5546875" style="13" bestFit="1" customWidth="1"/>
    <col min="13312" max="13312" width="11.44140625" style="13" customWidth="1"/>
    <col min="13313" max="13313" width="9.109375" style="13" customWidth="1"/>
    <col min="13314" max="13315" width="10" style="13" customWidth="1"/>
    <col min="13316" max="13316" width="10.88671875" style="13" bestFit="1" customWidth="1"/>
    <col min="13317" max="13554" width="8.88671875" style="13"/>
    <col min="13555" max="13555" width="66.5546875" style="13" bestFit="1" customWidth="1"/>
    <col min="13556" max="13556" width="11.5546875" style="13" bestFit="1" customWidth="1"/>
    <col min="13557" max="13557" width="8.88671875" style="13" bestFit="1" customWidth="1"/>
    <col min="13558" max="13558" width="10" style="13" customWidth="1"/>
    <col min="13559" max="13559" width="12.109375" style="13" bestFit="1" customWidth="1"/>
    <col min="13560" max="13560" width="13.88671875" style="13" bestFit="1" customWidth="1"/>
    <col min="13561" max="13561" width="13.44140625" style="13" customWidth="1"/>
    <col min="13562" max="13562" width="12.109375" style="13" customWidth="1"/>
    <col min="13563" max="13563" width="11.88671875" style="13" customWidth="1"/>
    <col min="13564" max="13564" width="12.44140625" style="13" customWidth="1"/>
    <col min="13565" max="13565" width="11.44140625" style="13" customWidth="1"/>
    <col min="13566" max="13566" width="13.109375" style="13" bestFit="1" customWidth="1"/>
    <col min="13567" max="13567" width="9.5546875" style="13" bestFit="1" customWidth="1"/>
    <col min="13568" max="13568" width="11.44140625" style="13" customWidth="1"/>
    <col min="13569" max="13569" width="9.109375" style="13" customWidth="1"/>
    <col min="13570" max="13571" width="10" style="13" customWidth="1"/>
    <col min="13572" max="13572" width="10.88671875" style="13" bestFit="1" customWidth="1"/>
    <col min="13573" max="13810" width="8.88671875" style="13"/>
    <col min="13811" max="13811" width="66.5546875" style="13" bestFit="1" customWidth="1"/>
    <col min="13812" max="13812" width="11.5546875" style="13" bestFit="1" customWidth="1"/>
    <col min="13813" max="13813" width="8.88671875" style="13" bestFit="1" customWidth="1"/>
    <col min="13814" max="13814" width="10" style="13" customWidth="1"/>
    <col min="13815" max="13815" width="12.109375" style="13" bestFit="1" customWidth="1"/>
    <col min="13816" max="13816" width="13.88671875" style="13" bestFit="1" customWidth="1"/>
    <col min="13817" max="13817" width="13.44140625" style="13" customWidth="1"/>
    <col min="13818" max="13818" width="12.109375" style="13" customWidth="1"/>
    <col min="13819" max="13819" width="11.88671875" style="13" customWidth="1"/>
    <col min="13820" max="13820" width="12.44140625" style="13" customWidth="1"/>
    <col min="13821" max="13821" width="11.44140625" style="13" customWidth="1"/>
    <col min="13822" max="13822" width="13.109375" style="13" bestFit="1" customWidth="1"/>
    <col min="13823" max="13823" width="9.5546875" style="13" bestFit="1" customWidth="1"/>
    <col min="13824" max="13824" width="11.44140625" style="13" customWidth="1"/>
    <col min="13825" max="13825" width="9.109375" style="13" customWidth="1"/>
    <col min="13826" max="13827" width="10" style="13" customWidth="1"/>
    <col min="13828" max="13828" width="10.88671875" style="13" bestFit="1" customWidth="1"/>
    <col min="13829" max="14066" width="8.88671875" style="13"/>
    <col min="14067" max="14067" width="66.5546875" style="13" bestFit="1" customWidth="1"/>
    <col min="14068" max="14068" width="11.5546875" style="13" bestFit="1" customWidth="1"/>
    <col min="14069" max="14069" width="8.88671875" style="13" bestFit="1" customWidth="1"/>
    <col min="14070" max="14070" width="10" style="13" customWidth="1"/>
    <col min="14071" max="14071" width="12.109375" style="13" bestFit="1" customWidth="1"/>
    <col min="14072" max="14072" width="13.88671875" style="13" bestFit="1" customWidth="1"/>
    <col min="14073" max="14073" width="13.44140625" style="13" customWidth="1"/>
    <col min="14074" max="14074" width="12.109375" style="13" customWidth="1"/>
    <col min="14075" max="14075" width="11.88671875" style="13" customWidth="1"/>
    <col min="14076" max="14076" width="12.44140625" style="13" customWidth="1"/>
    <col min="14077" max="14077" width="11.44140625" style="13" customWidth="1"/>
    <col min="14078" max="14078" width="13.109375" style="13" bestFit="1" customWidth="1"/>
    <col min="14079" max="14079" width="9.5546875" style="13" bestFit="1" customWidth="1"/>
    <col min="14080" max="14080" width="11.44140625" style="13" customWidth="1"/>
    <col min="14081" max="14081" width="9.109375" style="13" customWidth="1"/>
    <col min="14082" max="14083" width="10" style="13" customWidth="1"/>
    <col min="14084" max="14084" width="10.88671875" style="13" bestFit="1" customWidth="1"/>
    <col min="14085" max="14322" width="8.88671875" style="13"/>
    <col min="14323" max="14323" width="66.5546875" style="13" bestFit="1" customWidth="1"/>
    <col min="14324" max="14324" width="11.5546875" style="13" bestFit="1" customWidth="1"/>
    <col min="14325" max="14325" width="8.88671875" style="13" bestFit="1" customWidth="1"/>
    <col min="14326" max="14326" width="10" style="13" customWidth="1"/>
    <col min="14327" max="14327" width="12.109375" style="13" bestFit="1" customWidth="1"/>
    <col min="14328" max="14328" width="13.88671875" style="13" bestFit="1" customWidth="1"/>
    <col min="14329" max="14329" width="13.44140625" style="13" customWidth="1"/>
    <col min="14330" max="14330" width="12.109375" style="13" customWidth="1"/>
    <col min="14331" max="14331" width="11.88671875" style="13" customWidth="1"/>
    <col min="14332" max="14332" width="12.44140625" style="13" customWidth="1"/>
    <col min="14333" max="14333" width="11.44140625" style="13" customWidth="1"/>
    <col min="14334" max="14334" width="13.109375" style="13" bestFit="1" customWidth="1"/>
    <col min="14335" max="14335" width="9.5546875" style="13" bestFit="1" customWidth="1"/>
    <col min="14336" max="14336" width="11.44140625" style="13" customWidth="1"/>
    <col min="14337" max="14337" width="9.109375" style="13" customWidth="1"/>
    <col min="14338" max="14339" width="10" style="13" customWidth="1"/>
    <col min="14340" max="14340" width="10.88671875" style="13" bestFit="1" customWidth="1"/>
    <col min="14341" max="14578" width="8.88671875" style="13"/>
    <col min="14579" max="14579" width="66.5546875" style="13" bestFit="1" customWidth="1"/>
    <col min="14580" max="14580" width="11.5546875" style="13" bestFit="1" customWidth="1"/>
    <col min="14581" max="14581" width="8.88671875" style="13" bestFit="1" customWidth="1"/>
    <col min="14582" max="14582" width="10" style="13" customWidth="1"/>
    <col min="14583" max="14583" width="12.109375" style="13" bestFit="1" customWidth="1"/>
    <col min="14584" max="14584" width="13.88671875" style="13" bestFit="1" customWidth="1"/>
    <col min="14585" max="14585" width="13.44140625" style="13" customWidth="1"/>
    <col min="14586" max="14586" width="12.109375" style="13" customWidth="1"/>
    <col min="14587" max="14587" width="11.88671875" style="13" customWidth="1"/>
    <col min="14588" max="14588" width="12.44140625" style="13" customWidth="1"/>
    <col min="14589" max="14589" width="11.44140625" style="13" customWidth="1"/>
    <col min="14590" max="14590" width="13.109375" style="13" bestFit="1" customWidth="1"/>
    <col min="14591" max="14591" width="9.5546875" style="13" bestFit="1" customWidth="1"/>
    <col min="14592" max="14592" width="11.44140625" style="13" customWidth="1"/>
    <col min="14593" max="14593" width="9.109375" style="13" customWidth="1"/>
    <col min="14594" max="14595" width="10" style="13" customWidth="1"/>
    <col min="14596" max="14596" width="10.88671875" style="13" bestFit="1" customWidth="1"/>
    <col min="14597" max="14834" width="8.88671875" style="13"/>
    <col min="14835" max="14835" width="66.5546875" style="13" bestFit="1" customWidth="1"/>
    <col min="14836" max="14836" width="11.5546875" style="13" bestFit="1" customWidth="1"/>
    <col min="14837" max="14837" width="8.88671875" style="13" bestFit="1" customWidth="1"/>
    <col min="14838" max="14838" width="10" style="13" customWidth="1"/>
    <col min="14839" max="14839" width="12.109375" style="13" bestFit="1" customWidth="1"/>
    <col min="14840" max="14840" width="13.88671875" style="13" bestFit="1" customWidth="1"/>
    <col min="14841" max="14841" width="13.44140625" style="13" customWidth="1"/>
    <col min="14842" max="14842" width="12.109375" style="13" customWidth="1"/>
    <col min="14843" max="14843" width="11.88671875" style="13" customWidth="1"/>
    <col min="14844" max="14844" width="12.44140625" style="13" customWidth="1"/>
    <col min="14845" max="14845" width="11.44140625" style="13" customWidth="1"/>
    <col min="14846" max="14846" width="13.109375" style="13" bestFit="1" customWidth="1"/>
    <col min="14847" max="14847" width="9.5546875" style="13" bestFit="1" customWidth="1"/>
    <col min="14848" max="14848" width="11.44140625" style="13" customWidth="1"/>
    <col min="14849" max="14849" width="9.109375" style="13" customWidth="1"/>
    <col min="14850" max="14851" width="10" style="13" customWidth="1"/>
    <col min="14852" max="14852" width="10.88671875" style="13" bestFit="1" customWidth="1"/>
    <col min="14853" max="15090" width="8.88671875" style="13"/>
    <col min="15091" max="15091" width="66.5546875" style="13" bestFit="1" customWidth="1"/>
    <col min="15092" max="15092" width="11.5546875" style="13" bestFit="1" customWidth="1"/>
    <col min="15093" max="15093" width="8.88671875" style="13" bestFit="1" customWidth="1"/>
    <col min="15094" max="15094" width="10" style="13" customWidth="1"/>
    <col min="15095" max="15095" width="12.109375" style="13" bestFit="1" customWidth="1"/>
    <col min="15096" max="15096" width="13.88671875" style="13" bestFit="1" customWidth="1"/>
    <col min="15097" max="15097" width="13.44140625" style="13" customWidth="1"/>
    <col min="15098" max="15098" width="12.109375" style="13" customWidth="1"/>
    <col min="15099" max="15099" width="11.88671875" style="13" customWidth="1"/>
    <col min="15100" max="15100" width="12.44140625" style="13" customWidth="1"/>
    <col min="15101" max="15101" width="11.44140625" style="13" customWidth="1"/>
    <col min="15102" max="15102" width="13.109375" style="13" bestFit="1" customWidth="1"/>
    <col min="15103" max="15103" width="9.5546875" style="13" bestFit="1" customWidth="1"/>
    <col min="15104" max="15104" width="11.44140625" style="13" customWidth="1"/>
    <col min="15105" max="15105" width="9.109375" style="13" customWidth="1"/>
    <col min="15106" max="15107" width="10" style="13" customWidth="1"/>
    <col min="15108" max="15108" width="10.88671875" style="13" bestFit="1" customWidth="1"/>
    <col min="15109" max="15346" width="8.88671875" style="13"/>
    <col min="15347" max="15347" width="66.5546875" style="13" bestFit="1" customWidth="1"/>
    <col min="15348" max="15348" width="11.5546875" style="13" bestFit="1" customWidth="1"/>
    <col min="15349" max="15349" width="8.88671875" style="13" bestFit="1" customWidth="1"/>
    <col min="15350" max="15350" width="10" style="13" customWidth="1"/>
    <col min="15351" max="15351" width="12.109375" style="13" bestFit="1" customWidth="1"/>
    <col min="15352" max="15352" width="13.88671875" style="13" bestFit="1" customWidth="1"/>
    <col min="15353" max="15353" width="13.44140625" style="13" customWidth="1"/>
    <col min="15354" max="15354" width="12.109375" style="13" customWidth="1"/>
    <col min="15355" max="15355" width="11.88671875" style="13" customWidth="1"/>
    <col min="15356" max="15356" width="12.44140625" style="13" customWidth="1"/>
    <col min="15357" max="15357" width="11.44140625" style="13" customWidth="1"/>
    <col min="15358" max="15358" width="13.109375" style="13" bestFit="1" customWidth="1"/>
    <col min="15359" max="15359" width="9.5546875" style="13" bestFit="1" customWidth="1"/>
    <col min="15360" max="15360" width="11.44140625" style="13" customWidth="1"/>
    <col min="15361" max="15361" width="9.109375" style="13" customWidth="1"/>
    <col min="15362" max="15363" width="10" style="13" customWidth="1"/>
    <col min="15364" max="15364" width="10.88671875" style="13" bestFit="1" customWidth="1"/>
    <col min="15365" max="15602" width="8.88671875" style="13"/>
    <col min="15603" max="15603" width="66.5546875" style="13" bestFit="1" customWidth="1"/>
    <col min="15604" max="15604" width="11.5546875" style="13" bestFit="1" customWidth="1"/>
    <col min="15605" max="15605" width="8.88671875" style="13" bestFit="1" customWidth="1"/>
    <col min="15606" max="15606" width="10" style="13" customWidth="1"/>
    <col min="15607" max="15607" width="12.109375" style="13" bestFit="1" customWidth="1"/>
    <col min="15608" max="15608" width="13.88671875" style="13" bestFit="1" customWidth="1"/>
    <col min="15609" max="15609" width="13.44140625" style="13" customWidth="1"/>
    <col min="15610" max="15610" width="12.109375" style="13" customWidth="1"/>
    <col min="15611" max="15611" width="11.88671875" style="13" customWidth="1"/>
    <col min="15612" max="15612" width="12.44140625" style="13" customWidth="1"/>
    <col min="15613" max="15613" width="11.44140625" style="13" customWidth="1"/>
    <col min="15614" max="15614" width="13.109375" style="13" bestFit="1" customWidth="1"/>
    <col min="15615" max="15615" width="9.5546875" style="13" bestFit="1" customWidth="1"/>
    <col min="15616" max="15616" width="11.44140625" style="13" customWidth="1"/>
    <col min="15617" max="15617" width="9.109375" style="13" customWidth="1"/>
    <col min="15618" max="15619" width="10" style="13" customWidth="1"/>
    <col min="15620" max="15620" width="10.88671875" style="13" bestFit="1" customWidth="1"/>
    <col min="15621" max="15858" width="8.88671875" style="13"/>
    <col min="15859" max="15859" width="66.5546875" style="13" bestFit="1" customWidth="1"/>
    <col min="15860" max="15860" width="11.5546875" style="13" bestFit="1" customWidth="1"/>
    <col min="15861" max="15861" width="8.88671875" style="13" bestFit="1" customWidth="1"/>
    <col min="15862" max="15862" width="10" style="13" customWidth="1"/>
    <col min="15863" max="15863" width="12.109375" style="13" bestFit="1" customWidth="1"/>
    <col min="15864" max="15864" width="13.88671875" style="13" bestFit="1" customWidth="1"/>
    <col min="15865" max="15865" width="13.44140625" style="13" customWidth="1"/>
    <col min="15866" max="15866" width="12.109375" style="13" customWidth="1"/>
    <col min="15867" max="15867" width="11.88671875" style="13" customWidth="1"/>
    <col min="15868" max="15868" width="12.44140625" style="13" customWidth="1"/>
    <col min="15869" max="15869" width="11.44140625" style="13" customWidth="1"/>
    <col min="15870" max="15870" width="13.109375" style="13" bestFit="1" customWidth="1"/>
    <col min="15871" max="15871" width="9.5546875" style="13" bestFit="1" customWidth="1"/>
    <col min="15872" max="15872" width="11.44140625" style="13" customWidth="1"/>
    <col min="15873" max="15873" width="9.109375" style="13" customWidth="1"/>
    <col min="15874" max="15875" width="10" style="13" customWidth="1"/>
    <col min="15876" max="15876" width="10.88671875" style="13" bestFit="1" customWidth="1"/>
    <col min="15877" max="16114" width="8.88671875" style="13"/>
    <col min="16115" max="16115" width="66.5546875" style="13" bestFit="1" customWidth="1"/>
    <col min="16116" max="16116" width="11.5546875" style="13" bestFit="1" customWidth="1"/>
    <col min="16117" max="16117" width="8.88671875" style="13" bestFit="1" customWidth="1"/>
    <col min="16118" max="16118" width="10" style="13" customWidth="1"/>
    <col min="16119" max="16119" width="12.109375" style="13" bestFit="1" customWidth="1"/>
    <col min="16120" max="16120" width="13.88671875" style="13" bestFit="1" customWidth="1"/>
    <col min="16121" max="16121" width="13.44140625" style="13" customWidth="1"/>
    <col min="16122" max="16122" width="12.109375" style="13" customWidth="1"/>
    <col min="16123" max="16123" width="11.88671875" style="13" customWidth="1"/>
    <col min="16124" max="16124" width="12.44140625" style="13" customWidth="1"/>
    <col min="16125" max="16125" width="11.44140625" style="13" customWidth="1"/>
    <col min="16126" max="16126" width="13.109375" style="13" bestFit="1" customWidth="1"/>
    <col min="16127" max="16127" width="9.5546875" style="13" bestFit="1" customWidth="1"/>
    <col min="16128" max="16128" width="11.44140625" style="13" customWidth="1"/>
    <col min="16129" max="16129" width="9.109375" style="13" customWidth="1"/>
    <col min="16130" max="16131" width="10" style="13" customWidth="1"/>
    <col min="16132" max="16132" width="10.88671875" style="13" bestFit="1" customWidth="1"/>
    <col min="16133" max="16384" width="8.88671875" style="13"/>
  </cols>
  <sheetData>
    <row r="1" spans="1:26" x14ac:dyDescent="0.2">
      <c r="A1" s="1" t="s">
        <v>47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2">
      <c r="A2" s="12" t="s">
        <v>61</v>
      </c>
      <c r="B2" s="42">
        <v>0</v>
      </c>
      <c r="C2" s="42">
        <f>B5</f>
        <v>0</v>
      </c>
      <c r="D2" s="42">
        <f t="shared" ref="D2:Z2" si="0">C5</f>
        <v>12000</v>
      </c>
      <c r="E2" s="42">
        <f t="shared" si="0"/>
        <v>0</v>
      </c>
      <c r="F2" s="42">
        <f t="shared" si="0"/>
        <v>0</v>
      </c>
      <c r="G2" s="42">
        <f t="shared" si="0"/>
        <v>2000</v>
      </c>
      <c r="H2" s="42">
        <f t="shared" si="0"/>
        <v>24000</v>
      </c>
      <c r="I2" s="42">
        <f t="shared" si="0"/>
        <v>28000</v>
      </c>
      <c r="J2" s="42">
        <f t="shared" si="0"/>
        <v>42000</v>
      </c>
      <c r="K2" s="42">
        <f t="shared" si="0"/>
        <v>42000</v>
      </c>
      <c r="L2" s="42">
        <f t="shared" si="0"/>
        <v>32000</v>
      </c>
      <c r="M2" s="42">
        <f t="shared" si="0"/>
        <v>0</v>
      </c>
      <c r="N2" s="42">
        <f t="shared" si="0"/>
        <v>0</v>
      </c>
      <c r="O2" s="42">
        <f t="shared" si="0"/>
        <v>0</v>
      </c>
      <c r="P2" s="42">
        <f t="shared" si="0"/>
        <v>0</v>
      </c>
      <c r="Q2" s="42">
        <f t="shared" si="0"/>
        <v>0</v>
      </c>
      <c r="R2" s="42">
        <f t="shared" si="0"/>
        <v>0</v>
      </c>
      <c r="S2" s="42">
        <f t="shared" si="0"/>
        <v>0</v>
      </c>
      <c r="T2" s="42">
        <f t="shared" si="0"/>
        <v>0</v>
      </c>
      <c r="U2" s="42">
        <f t="shared" si="0"/>
        <v>0</v>
      </c>
      <c r="V2" s="42">
        <f t="shared" si="0"/>
        <v>0</v>
      </c>
      <c r="W2" s="42">
        <f t="shared" si="0"/>
        <v>0</v>
      </c>
      <c r="X2" s="42">
        <f t="shared" si="0"/>
        <v>0</v>
      </c>
      <c r="Y2" s="42">
        <f t="shared" si="0"/>
        <v>0</v>
      </c>
      <c r="Z2" s="42">
        <f t="shared" si="0"/>
        <v>0</v>
      </c>
    </row>
    <row r="3" spans="1:26" x14ac:dyDescent="0.2">
      <c r="A3" s="12" t="s">
        <v>62</v>
      </c>
      <c r="B3" s="42">
        <v>0</v>
      </c>
      <c r="C3" s="42">
        <v>12000</v>
      </c>
      <c r="D3" s="42">
        <v>0</v>
      </c>
      <c r="E3" s="42">
        <v>0</v>
      </c>
      <c r="F3" s="42">
        <v>2000</v>
      </c>
      <c r="G3" s="42">
        <v>22000</v>
      </c>
      <c r="H3" s="42">
        <v>4000</v>
      </c>
      <c r="I3" s="42">
        <v>14000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</row>
    <row r="4" spans="1:26" x14ac:dyDescent="0.2">
      <c r="A4" s="12" t="s">
        <v>58</v>
      </c>
      <c r="B4" s="42">
        <v>0</v>
      </c>
      <c r="C4" s="42">
        <v>0</v>
      </c>
      <c r="D4" s="42">
        <v>12000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10000</v>
      </c>
      <c r="L4" s="42">
        <v>32000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</row>
    <row r="5" spans="1:26" x14ac:dyDescent="0.2">
      <c r="A5" s="12" t="s">
        <v>63</v>
      </c>
      <c r="B5" s="42">
        <f>B2+B3-B4</f>
        <v>0</v>
      </c>
      <c r="C5" s="42">
        <f t="shared" ref="C5:Z5" si="1">C2+C3-C4</f>
        <v>12000</v>
      </c>
      <c r="D5" s="42">
        <f t="shared" si="1"/>
        <v>0</v>
      </c>
      <c r="E5" s="42">
        <f t="shared" si="1"/>
        <v>0</v>
      </c>
      <c r="F5" s="42">
        <f t="shared" si="1"/>
        <v>2000</v>
      </c>
      <c r="G5" s="42">
        <f t="shared" si="1"/>
        <v>24000</v>
      </c>
      <c r="H5" s="42">
        <f t="shared" si="1"/>
        <v>28000</v>
      </c>
      <c r="I5" s="42">
        <f t="shared" si="1"/>
        <v>42000</v>
      </c>
      <c r="J5" s="42">
        <f t="shared" si="1"/>
        <v>42000</v>
      </c>
      <c r="K5" s="42">
        <f t="shared" si="1"/>
        <v>32000</v>
      </c>
      <c r="L5" s="42">
        <f t="shared" si="1"/>
        <v>0</v>
      </c>
      <c r="M5" s="42">
        <f t="shared" si="1"/>
        <v>0</v>
      </c>
      <c r="N5" s="42">
        <f t="shared" si="1"/>
        <v>0</v>
      </c>
      <c r="O5" s="42">
        <f t="shared" si="1"/>
        <v>0</v>
      </c>
      <c r="P5" s="42">
        <f t="shared" si="1"/>
        <v>0</v>
      </c>
      <c r="Q5" s="42">
        <f t="shared" si="1"/>
        <v>0</v>
      </c>
      <c r="R5" s="42">
        <f t="shared" si="1"/>
        <v>0</v>
      </c>
      <c r="S5" s="42">
        <f t="shared" si="1"/>
        <v>0</v>
      </c>
      <c r="T5" s="42">
        <f t="shared" si="1"/>
        <v>0</v>
      </c>
      <c r="U5" s="42">
        <f t="shared" si="1"/>
        <v>0</v>
      </c>
      <c r="V5" s="42">
        <f t="shared" si="1"/>
        <v>0</v>
      </c>
      <c r="W5" s="42">
        <f t="shared" si="1"/>
        <v>0</v>
      </c>
      <c r="X5" s="42">
        <f t="shared" si="1"/>
        <v>0</v>
      </c>
      <c r="Y5" s="42">
        <f t="shared" si="1"/>
        <v>0</v>
      </c>
      <c r="Z5" s="42">
        <f t="shared" si="1"/>
        <v>0</v>
      </c>
    </row>
    <row r="6" spans="1:26" x14ac:dyDescent="0.2">
      <c r="A6" s="12" t="s">
        <v>59</v>
      </c>
      <c r="B6" s="91">
        <v>0.19</v>
      </c>
      <c r="C6" s="91">
        <v>0.19</v>
      </c>
      <c r="D6" s="91">
        <v>0.19</v>
      </c>
      <c r="E6" s="91">
        <v>0.19</v>
      </c>
      <c r="F6" s="91">
        <v>0.19</v>
      </c>
      <c r="G6" s="91">
        <v>0.19</v>
      </c>
      <c r="H6" s="91">
        <v>0.19</v>
      </c>
      <c r="I6" s="91">
        <v>0.19</v>
      </c>
      <c r="J6" s="91">
        <v>0.19</v>
      </c>
      <c r="K6" s="91">
        <v>0.19</v>
      </c>
      <c r="L6" s="91">
        <v>0.19</v>
      </c>
      <c r="M6" s="91">
        <v>0.19</v>
      </c>
      <c r="N6" s="91">
        <v>0.19</v>
      </c>
      <c r="O6" s="91">
        <v>0.19</v>
      </c>
      <c r="P6" s="91">
        <v>0.19</v>
      </c>
      <c r="Q6" s="91">
        <v>0.19</v>
      </c>
      <c r="R6" s="91">
        <v>0.19</v>
      </c>
      <c r="S6" s="91">
        <v>0.19</v>
      </c>
      <c r="T6" s="91">
        <v>0.19</v>
      </c>
      <c r="U6" s="91">
        <v>0.19</v>
      </c>
      <c r="V6" s="91">
        <v>0.19</v>
      </c>
      <c r="W6" s="91">
        <v>0.19</v>
      </c>
      <c r="X6" s="91">
        <v>0.19</v>
      </c>
      <c r="Y6" s="91">
        <v>0.19</v>
      </c>
      <c r="Z6" s="91">
        <v>0.19</v>
      </c>
    </row>
    <row r="7" spans="1:26" x14ac:dyDescent="0.2">
      <c r="A7" s="12" t="s">
        <v>60</v>
      </c>
      <c r="B7" s="42">
        <f>(B2+B5)*B6/2</f>
        <v>0</v>
      </c>
      <c r="C7" s="42">
        <f t="shared" ref="C7:F7" si="2">(C2+C5)*C6/2</f>
        <v>1140</v>
      </c>
      <c r="D7" s="42">
        <f t="shared" si="2"/>
        <v>1140</v>
      </c>
      <c r="E7" s="42">
        <f t="shared" si="2"/>
        <v>0</v>
      </c>
      <c r="F7" s="42">
        <f t="shared" si="2"/>
        <v>190</v>
      </c>
      <c r="G7" s="42">
        <f t="shared" ref="G7" si="3">(G2+G5)*G6/2</f>
        <v>2470</v>
      </c>
      <c r="H7" s="42">
        <f t="shared" ref="H7" si="4">(H2+H5)*H6/2</f>
        <v>4940</v>
      </c>
      <c r="I7" s="42">
        <f t="shared" ref="I7:J7" si="5">(I2+I5)*I6/2</f>
        <v>6650</v>
      </c>
      <c r="J7" s="42">
        <f t="shared" si="5"/>
        <v>7980</v>
      </c>
      <c r="K7" s="42">
        <f t="shared" ref="K7" si="6">(K2+K5)*K6/2</f>
        <v>7030</v>
      </c>
      <c r="L7" s="42">
        <f t="shared" ref="L7" si="7">(L2+L5)*L6/2</f>
        <v>3040</v>
      </c>
      <c r="M7" s="42">
        <f t="shared" ref="M7:N7" si="8">(M2+M5)*M6/2</f>
        <v>0</v>
      </c>
      <c r="N7" s="42">
        <f t="shared" si="8"/>
        <v>0</v>
      </c>
      <c r="O7" s="42">
        <f t="shared" ref="O7" si="9">(O2+O5)*O6/2</f>
        <v>0</v>
      </c>
      <c r="P7" s="42">
        <f t="shared" ref="P7" si="10">(P2+P5)*P6/2</f>
        <v>0</v>
      </c>
      <c r="Q7" s="42">
        <f t="shared" ref="Q7:R7" si="11">(Q2+Q5)*Q6/2</f>
        <v>0</v>
      </c>
      <c r="R7" s="42">
        <f t="shared" si="11"/>
        <v>0</v>
      </c>
      <c r="S7" s="42">
        <f t="shared" ref="S7" si="12">(S2+S5)*S6/2</f>
        <v>0</v>
      </c>
      <c r="T7" s="42">
        <f t="shared" ref="T7" si="13">(T2+T5)*T6/2</f>
        <v>0</v>
      </c>
      <c r="U7" s="42">
        <f t="shared" ref="U7:V7" si="14">(U2+U5)*U6/2</f>
        <v>0</v>
      </c>
      <c r="V7" s="42">
        <f t="shared" si="14"/>
        <v>0</v>
      </c>
      <c r="W7" s="42">
        <f t="shared" ref="W7" si="15">(W2+W5)*W6/2</f>
        <v>0</v>
      </c>
      <c r="X7" s="42">
        <f t="shared" ref="X7" si="16">(X2+X5)*X6/2</f>
        <v>0</v>
      </c>
      <c r="Y7" s="42">
        <f t="shared" ref="Y7:Z7" si="17">(Y2+Y5)*Y6/2</f>
        <v>0</v>
      </c>
      <c r="Z7" s="42">
        <f t="shared" si="17"/>
        <v>0</v>
      </c>
    </row>
    <row r="12" spans="1:26" x14ac:dyDescent="0.2">
      <c r="A12" s="15"/>
    </row>
    <row r="13" spans="1:26" x14ac:dyDescent="0.2">
      <c r="A13" s="15"/>
    </row>
    <row r="14" spans="1:26" x14ac:dyDescent="0.2">
      <c r="A14" s="15"/>
    </row>
    <row r="15" spans="1:26" x14ac:dyDescent="0.2">
      <c r="A15" s="15"/>
    </row>
    <row r="16" spans="1:26" x14ac:dyDescent="0.2">
      <c r="A16" s="25"/>
    </row>
    <row r="17" spans="1:1" x14ac:dyDescent="0.2">
      <c r="A17" s="15"/>
    </row>
    <row r="18" spans="1:1" x14ac:dyDescent="0.2">
      <c r="A18" s="15"/>
    </row>
    <row r="19" spans="1:1" x14ac:dyDescent="0.2">
      <c r="A19" s="15"/>
    </row>
    <row r="20" spans="1:1" x14ac:dyDescent="0.2">
      <c r="A20" s="15"/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selection activeCell="C19" sqref="C19"/>
    </sheetView>
  </sheetViews>
  <sheetFormatPr defaultColWidth="8.88671875" defaultRowHeight="15.05" x14ac:dyDescent="0.3"/>
  <cols>
    <col min="1" max="1" width="14.6640625" customWidth="1"/>
    <col min="2" max="2" width="29.109375" customWidth="1"/>
    <col min="161" max="161" width="65.109375" bestFit="1" customWidth="1"/>
    <col min="162" max="162" width="15.109375" customWidth="1"/>
    <col min="163" max="163" width="14.44140625" customWidth="1"/>
    <col min="164" max="166" width="17.109375" bestFit="1" customWidth="1"/>
    <col min="167" max="167" width="18.88671875" customWidth="1"/>
    <col min="168" max="168" width="19.44140625" customWidth="1"/>
    <col min="169" max="170" width="17.109375" bestFit="1" customWidth="1"/>
    <col min="171" max="171" width="11.44140625" customWidth="1"/>
    <col min="172" max="172" width="13.109375" customWidth="1"/>
    <col min="173" max="173" width="13" customWidth="1"/>
    <col min="174" max="174" width="13.109375" customWidth="1"/>
    <col min="175" max="175" width="11.44140625" customWidth="1"/>
    <col min="176" max="176" width="13.44140625" customWidth="1"/>
    <col min="177" max="177" width="12.44140625" customWidth="1"/>
    <col min="178" max="178" width="12.5546875" customWidth="1"/>
    <col min="417" max="417" width="65.109375" bestFit="1" customWidth="1"/>
    <col min="418" max="418" width="15.109375" customWidth="1"/>
    <col min="419" max="419" width="14.44140625" customWidth="1"/>
    <col min="420" max="422" width="17.109375" bestFit="1" customWidth="1"/>
    <col min="423" max="423" width="18.88671875" customWidth="1"/>
    <col min="424" max="424" width="19.44140625" customWidth="1"/>
    <col min="425" max="426" width="17.109375" bestFit="1" customWidth="1"/>
    <col min="427" max="427" width="11.44140625" customWidth="1"/>
    <col min="428" max="428" width="13.109375" customWidth="1"/>
    <col min="429" max="429" width="13" customWidth="1"/>
    <col min="430" max="430" width="13.109375" customWidth="1"/>
    <col min="431" max="431" width="11.44140625" customWidth="1"/>
    <col min="432" max="432" width="13.44140625" customWidth="1"/>
    <col min="433" max="433" width="12.44140625" customWidth="1"/>
    <col min="434" max="434" width="12.5546875" customWidth="1"/>
    <col min="673" max="673" width="65.109375" bestFit="1" customWidth="1"/>
    <col min="674" max="674" width="15.109375" customWidth="1"/>
    <col min="675" max="675" width="14.44140625" customWidth="1"/>
    <col min="676" max="678" width="17.109375" bestFit="1" customWidth="1"/>
    <col min="679" max="679" width="18.88671875" customWidth="1"/>
    <col min="680" max="680" width="19.44140625" customWidth="1"/>
    <col min="681" max="682" width="17.109375" bestFit="1" customWidth="1"/>
    <col min="683" max="683" width="11.44140625" customWidth="1"/>
    <col min="684" max="684" width="13.109375" customWidth="1"/>
    <col min="685" max="685" width="13" customWidth="1"/>
    <col min="686" max="686" width="13.109375" customWidth="1"/>
    <col min="687" max="687" width="11.44140625" customWidth="1"/>
    <col min="688" max="688" width="13.44140625" customWidth="1"/>
    <col min="689" max="689" width="12.44140625" customWidth="1"/>
    <col min="690" max="690" width="12.5546875" customWidth="1"/>
    <col min="929" max="929" width="65.109375" bestFit="1" customWidth="1"/>
    <col min="930" max="930" width="15.109375" customWidth="1"/>
    <col min="931" max="931" width="14.44140625" customWidth="1"/>
    <col min="932" max="934" width="17.109375" bestFit="1" customWidth="1"/>
    <col min="935" max="935" width="18.88671875" customWidth="1"/>
    <col min="936" max="936" width="19.44140625" customWidth="1"/>
    <col min="937" max="938" width="17.109375" bestFit="1" customWidth="1"/>
    <col min="939" max="939" width="11.44140625" customWidth="1"/>
    <col min="940" max="940" width="13.109375" customWidth="1"/>
    <col min="941" max="941" width="13" customWidth="1"/>
    <col min="942" max="942" width="13.109375" customWidth="1"/>
    <col min="943" max="943" width="11.44140625" customWidth="1"/>
    <col min="944" max="944" width="13.44140625" customWidth="1"/>
    <col min="945" max="945" width="12.44140625" customWidth="1"/>
    <col min="946" max="946" width="12.5546875" customWidth="1"/>
    <col min="1185" max="1185" width="65.109375" bestFit="1" customWidth="1"/>
    <col min="1186" max="1186" width="15.109375" customWidth="1"/>
    <col min="1187" max="1187" width="14.44140625" customWidth="1"/>
    <col min="1188" max="1190" width="17.109375" bestFit="1" customWidth="1"/>
    <col min="1191" max="1191" width="18.88671875" customWidth="1"/>
    <col min="1192" max="1192" width="19.44140625" customWidth="1"/>
    <col min="1193" max="1194" width="17.109375" bestFit="1" customWidth="1"/>
    <col min="1195" max="1195" width="11.44140625" customWidth="1"/>
    <col min="1196" max="1196" width="13.109375" customWidth="1"/>
    <col min="1197" max="1197" width="13" customWidth="1"/>
    <col min="1198" max="1198" width="13.109375" customWidth="1"/>
    <col min="1199" max="1199" width="11.44140625" customWidth="1"/>
    <col min="1200" max="1200" width="13.44140625" customWidth="1"/>
    <col min="1201" max="1201" width="12.44140625" customWidth="1"/>
    <col min="1202" max="1202" width="12.5546875" customWidth="1"/>
    <col min="1441" max="1441" width="65.109375" bestFit="1" customWidth="1"/>
    <col min="1442" max="1442" width="15.109375" customWidth="1"/>
    <col min="1443" max="1443" width="14.44140625" customWidth="1"/>
    <col min="1444" max="1446" width="17.109375" bestFit="1" customWidth="1"/>
    <col min="1447" max="1447" width="18.88671875" customWidth="1"/>
    <col min="1448" max="1448" width="19.44140625" customWidth="1"/>
    <col min="1449" max="1450" width="17.109375" bestFit="1" customWidth="1"/>
    <col min="1451" max="1451" width="11.44140625" customWidth="1"/>
    <col min="1452" max="1452" width="13.109375" customWidth="1"/>
    <col min="1453" max="1453" width="13" customWidth="1"/>
    <col min="1454" max="1454" width="13.109375" customWidth="1"/>
    <col min="1455" max="1455" width="11.44140625" customWidth="1"/>
    <col min="1456" max="1456" width="13.44140625" customWidth="1"/>
    <col min="1457" max="1457" width="12.44140625" customWidth="1"/>
    <col min="1458" max="1458" width="12.5546875" customWidth="1"/>
    <col min="1697" max="1697" width="65.109375" bestFit="1" customWidth="1"/>
    <col min="1698" max="1698" width="15.109375" customWidth="1"/>
    <col min="1699" max="1699" width="14.44140625" customWidth="1"/>
    <col min="1700" max="1702" width="17.109375" bestFit="1" customWidth="1"/>
    <col min="1703" max="1703" width="18.88671875" customWidth="1"/>
    <col min="1704" max="1704" width="19.44140625" customWidth="1"/>
    <col min="1705" max="1706" width="17.109375" bestFit="1" customWidth="1"/>
    <col min="1707" max="1707" width="11.44140625" customWidth="1"/>
    <col min="1708" max="1708" width="13.109375" customWidth="1"/>
    <col min="1709" max="1709" width="13" customWidth="1"/>
    <col min="1710" max="1710" width="13.109375" customWidth="1"/>
    <col min="1711" max="1711" width="11.44140625" customWidth="1"/>
    <col min="1712" max="1712" width="13.44140625" customWidth="1"/>
    <col min="1713" max="1713" width="12.44140625" customWidth="1"/>
    <col min="1714" max="1714" width="12.5546875" customWidth="1"/>
    <col min="1953" max="1953" width="65.109375" bestFit="1" customWidth="1"/>
    <col min="1954" max="1954" width="15.109375" customWidth="1"/>
    <col min="1955" max="1955" width="14.44140625" customWidth="1"/>
    <col min="1956" max="1958" width="17.109375" bestFit="1" customWidth="1"/>
    <col min="1959" max="1959" width="18.88671875" customWidth="1"/>
    <col min="1960" max="1960" width="19.44140625" customWidth="1"/>
    <col min="1961" max="1962" width="17.109375" bestFit="1" customWidth="1"/>
    <col min="1963" max="1963" width="11.44140625" customWidth="1"/>
    <col min="1964" max="1964" width="13.109375" customWidth="1"/>
    <col min="1965" max="1965" width="13" customWidth="1"/>
    <col min="1966" max="1966" width="13.109375" customWidth="1"/>
    <col min="1967" max="1967" width="11.44140625" customWidth="1"/>
    <col min="1968" max="1968" width="13.44140625" customWidth="1"/>
    <col min="1969" max="1969" width="12.44140625" customWidth="1"/>
    <col min="1970" max="1970" width="12.5546875" customWidth="1"/>
    <col min="2209" max="2209" width="65.109375" bestFit="1" customWidth="1"/>
    <col min="2210" max="2210" width="15.109375" customWidth="1"/>
    <col min="2211" max="2211" width="14.44140625" customWidth="1"/>
    <col min="2212" max="2214" width="17.109375" bestFit="1" customWidth="1"/>
    <col min="2215" max="2215" width="18.88671875" customWidth="1"/>
    <col min="2216" max="2216" width="19.44140625" customWidth="1"/>
    <col min="2217" max="2218" width="17.109375" bestFit="1" customWidth="1"/>
    <col min="2219" max="2219" width="11.44140625" customWidth="1"/>
    <col min="2220" max="2220" width="13.109375" customWidth="1"/>
    <col min="2221" max="2221" width="13" customWidth="1"/>
    <col min="2222" max="2222" width="13.109375" customWidth="1"/>
    <col min="2223" max="2223" width="11.44140625" customWidth="1"/>
    <col min="2224" max="2224" width="13.44140625" customWidth="1"/>
    <col min="2225" max="2225" width="12.44140625" customWidth="1"/>
    <col min="2226" max="2226" width="12.5546875" customWidth="1"/>
    <col min="2465" max="2465" width="65.109375" bestFit="1" customWidth="1"/>
    <col min="2466" max="2466" width="15.109375" customWidth="1"/>
    <col min="2467" max="2467" width="14.44140625" customWidth="1"/>
    <col min="2468" max="2470" width="17.109375" bestFit="1" customWidth="1"/>
    <col min="2471" max="2471" width="18.88671875" customWidth="1"/>
    <col min="2472" max="2472" width="19.44140625" customWidth="1"/>
    <col min="2473" max="2474" width="17.109375" bestFit="1" customWidth="1"/>
    <col min="2475" max="2475" width="11.44140625" customWidth="1"/>
    <col min="2476" max="2476" width="13.109375" customWidth="1"/>
    <col min="2477" max="2477" width="13" customWidth="1"/>
    <col min="2478" max="2478" width="13.109375" customWidth="1"/>
    <col min="2479" max="2479" width="11.44140625" customWidth="1"/>
    <col min="2480" max="2480" width="13.44140625" customWidth="1"/>
    <col min="2481" max="2481" width="12.44140625" customWidth="1"/>
    <col min="2482" max="2482" width="12.5546875" customWidth="1"/>
    <col min="2721" max="2721" width="65.109375" bestFit="1" customWidth="1"/>
    <col min="2722" max="2722" width="15.109375" customWidth="1"/>
    <col min="2723" max="2723" width="14.44140625" customWidth="1"/>
    <col min="2724" max="2726" width="17.109375" bestFit="1" customWidth="1"/>
    <col min="2727" max="2727" width="18.88671875" customWidth="1"/>
    <col min="2728" max="2728" width="19.44140625" customWidth="1"/>
    <col min="2729" max="2730" width="17.109375" bestFit="1" customWidth="1"/>
    <col min="2731" max="2731" width="11.44140625" customWidth="1"/>
    <col min="2732" max="2732" width="13.109375" customWidth="1"/>
    <col min="2733" max="2733" width="13" customWidth="1"/>
    <col min="2734" max="2734" width="13.109375" customWidth="1"/>
    <col min="2735" max="2735" width="11.44140625" customWidth="1"/>
    <col min="2736" max="2736" width="13.44140625" customWidth="1"/>
    <col min="2737" max="2737" width="12.44140625" customWidth="1"/>
    <col min="2738" max="2738" width="12.5546875" customWidth="1"/>
    <col min="2977" max="2977" width="65.109375" bestFit="1" customWidth="1"/>
    <col min="2978" max="2978" width="15.109375" customWidth="1"/>
    <col min="2979" max="2979" width="14.44140625" customWidth="1"/>
    <col min="2980" max="2982" width="17.109375" bestFit="1" customWidth="1"/>
    <col min="2983" max="2983" width="18.88671875" customWidth="1"/>
    <col min="2984" max="2984" width="19.44140625" customWidth="1"/>
    <col min="2985" max="2986" width="17.109375" bestFit="1" customWidth="1"/>
    <col min="2987" max="2987" width="11.44140625" customWidth="1"/>
    <col min="2988" max="2988" width="13.109375" customWidth="1"/>
    <col min="2989" max="2989" width="13" customWidth="1"/>
    <col min="2990" max="2990" width="13.109375" customWidth="1"/>
    <col min="2991" max="2991" width="11.44140625" customWidth="1"/>
    <col min="2992" max="2992" width="13.44140625" customWidth="1"/>
    <col min="2993" max="2993" width="12.44140625" customWidth="1"/>
    <col min="2994" max="2994" width="12.5546875" customWidth="1"/>
    <col min="3233" max="3233" width="65.109375" bestFit="1" customWidth="1"/>
    <col min="3234" max="3234" width="15.109375" customWidth="1"/>
    <col min="3235" max="3235" width="14.44140625" customWidth="1"/>
    <col min="3236" max="3238" width="17.109375" bestFit="1" customWidth="1"/>
    <col min="3239" max="3239" width="18.88671875" customWidth="1"/>
    <col min="3240" max="3240" width="19.44140625" customWidth="1"/>
    <col min="3241" max="3242" width="17.109375" bestFit="1" customWidth="1"/>
    <col min="3243" max="3243" width="11.44140625" customWidth="1"/>
    <col min="3244" max="3244" width="13.109375" customWidth="1"/>
    <col min="3245" max="3245" width="13" customWidth="1"/>
    <col min="3246" max="3246" width="13.109375" customWidth="1"/>
    <col min="3247" max="3247" width="11.44140625" customWidth="1"/>
    <col min="3248" max="3248" width="13.44140625" customWidth="1"/>
    <col min="3249" max="3249" width="12.44140625" customWidth="1"/>
    <col min="3250" max="3250" width="12.5546875" customWidth="1"/>
    <col min="3489" max="3489" width="65.109375" bestFit="1" customWidth="1"/>
    <col min="3490" max="3490" width="15.109375" customWidth="1"/>
    <col min="3491" max="3491" width="14.44140625" customWidth="1"/>
    <col min="3492" max="3494" width="17.109375" bestFit="1" customWidth="1"/>
    <col min="3495" max="3495" width="18.88671875" customWidth="1"/>
    <col min="3496" max="3496" width="19.44140625" customWidth="1"/>
    <col min="3497" max="3498" width="17.109375" bestFit="1" customWidth="1"/>
    <col min="3499" max="3499" width="11.44140625" customWidth="1"/>
    <col min="3500" max="3500" width="13.109375" customWidth="1"/>
    <col min="3501" max="3501" width="13" customWidth="1"/>
    <col min="3502" max="3502" width="13.109375" customWidth="1"/>
    <col min="3503" max="3503" width="11.44140625" customWidth="1"/>
    <col min="3504" max="3504" width="13.44140625" customWidth="1"/>
    <col min="3505" max="3505" width="12.44140625" customWidth="1"/>
    <col min="3506" max="3506" width="12.5546875" customWidth="1"/>
    <col min="3745" max="3745" width="65.109375" bestFit="1" customWidth="1"/>
    <col min="3746" max="3746" width="15.109375" customWidth="1"/>
    <col min="3747" max="3747" width="14.44140625" customWidth="1"/>
    <col min="3748" max="3750" width="17.109375" bestFit="1" customWidth="1"/>
    <col min="3751" max="3751" width="18.88671875" customWidth="1"/>
    <col min="3752" max="3752" width="19.44140625" customWidth="1"/>
    <col min="3753" max="3754" width="17.109375" bestFit="1" customWidth="1"/>
    <col min="3755" max="3755" width="11.44140625" customWidth="1"/>
    <col min="3756" max="3756" width="13.109375" customWidth="1"/>
    <col min="3757" max="3757" width="13" customWidth="1"/>
    <col min="3758" max="3758" width="13.109375" customWidth="1"/>
    <col min="3759" max="3759" width="11.44140625" customWidth="1"/>
    <col min="3760" max="3760" width="13.44140625" customWidth="1"/>
    <col min="3761" max="3761" width="12.44140625" customWidth="1"/>
    <col min="3762" max="3762" width="12.5546875" customWidth="1"/>
    <col min="4001" max="4001" width="65.109375" bestFit="1" customWidth="1"/>
    <col min="4002" max="4002" width="15.109375" customWidth="1"/>
    <col min="4003" max="4003" width="14.44140625" customWidth="1"/>
    <col min="4004" max="4006" width="17.109375" bestFit="1" customWidth="1"/>
    <col min="4007" max="4007" width="18.88671875" customWidth="1"/>
    <col min="4008" max="4008" width="19.44140625" customWidth="1"/>
    <col min="4009" max="4010" width="17.109375" bestFit="1" customWidth="1"/>
    <col min="4011" max="4011" width="11.44140625" customWidth="1"/>
    <col min="4012" max="4012" width="13.109375" customWidth="1"/>
    <col min="4013" max="4013" width="13" customWidth="1"/>
    <col min="4014" max="4014" width="13.109375" customWidth="1"/>
    <col min="4015" max="4015" width="11.44140625" customWidth="1"/>
    <col min="4016" max="4016" width="13.44140625" customWidth="1"/>
    <col min="4017" max="4017" width="12.44140625" customWidth="1"/>
    <col min="4018" max="4018" width="12.5546875" customWidth="1"/>
    <col min="4257" max="4257" width="65.109375" bestFit="1" customWidth="1"/>
    <col min="4258" max="4258" width="15.109375" customWidth="1"/>
    <col min="4259" max="4259" width="14.44140625" customWidth="1"/>
    <col min="4260" max="4262" width="17.109375" bestFit="1" customWidth="1"/>
    <col min="4263" max="4263" width="18.88671875" customWidth="1"/>
    <col min="4264" max="4264" width="19.44140625" customWidth="1"/>
    <col min="4265" max="4266" width="17.109375" bestFit="1" customWidth="1"/>
    <col min="4267" max="4267" width="11.44140625" customWidth="1"/>
    <col min="4268" max="4268" width="13.109375" customWidth="1"/>
    <col min="4269" max="4269" width="13" customWidth="1"/>
    <col min="4270" max="4270" width="13.109375" customWidth="1"/>
    <col min="4271" max="4271" width="11.44140625" customWidth="1"/>
    <col min="4272" max="4272" width="13.44140625" customWidth="1"/>
    <col min="4273" max="4273" width="12.44140625" customWidth="1"/>
    <col min="4274" max="4274" width="12.5546875" customWidth="1"/>
    <col min="4513" max="4513" width="65.109375" bestFit="1" customWidth="1"/>
    <col min="4514" max="4514" width="15.109375" customWidth="1"/>
    <col min="4515" max="4515" width="14.44140625" customWidth="1"/>
    <col min="4516" max="4518" width="17.109375" bestFit="1" customWidth="1"/>
    <col min="4519" max="4519" width="18.88671875" customWidth="1"/>
    <col min="4520" max="4520" width="19.44140625" customWidth="1"/>
    <col min="4521" max="4522" width="17.109375" bestFit="1" customWidth="1"/>
    <col min="4523" max="4523" width="11.44140625" customWidth="1"/>
    <col min="4524" max="4524" width="13.109375" customWidth="1"/>
    <col min="4525" max="4525" width="13" customWidth="1"/>
    <col min="4526" max="4526" width="13.109375" customWidth="1"/>
    <col min="4527" max="4527" width="11.44140625" customWidth="1"/>
    <col min="4528" max="4528" width="13.44140625" customWidth="1"/>
    <col min="4529" max="4529" width="12.44140625" customWidth="1"/>
    <col min="4530" max="4530" width="12.5546875" customWidth="1"/>
    <col min="4769" max="4769" width="65.109375" bestFit="1" customWidth="1"/>
    <col min="4770" max="4770" width="15.109375" customWidth="1"/>
    <col min="4771" max="4771" width="14.44140625" customWidth="1"/>
    <col min="4772" max="4774" width="17.109375" bestFit="1" customWidth="1"/>
    <col min="4775" max="4775" width="18.88671875" customWidth="1"/>
    <col min="4776" max="4776" width="19.44140625" customWidth="1"/>
    <col min="4777" max="4778" width="17.109375" bestFit="1" customWidth="1"/>
    <col min="4779" max="4779" width="11.44140625" customWidth="1"/>
    <col min="4780" max="4780" width="13.109375" customWidth="1"/>
    <col min="4781" max="4781" width="13" customWidth="1"/>
    <col min="4782" max="4782" width="13.109375" customWidth="1"/>
    <col min="4783" max="4783" width="11.44140625" customWidth="1"/>
    <col min="4784" max="4784" width="13.44140625" customWidth="1"/>
    <col min="4785" max="4785" width="12.44140625" customWidth="1"/>
    <col min="4786" max="4786" width="12.5546875" customWidth="1"/>
    <col min="5025" max="5025" width="65.109375" bestFit="1" customWidth="1"/>
    <col min="5026" max="5026" width="15.109375" customWidth="1"/>
    <col min="5027" max="5027" width="14.44140625" customWidth="1"/>
    <col min="5028" max="5030" width="17.109375" bestFit="1" customWidth="1"/>
    <col min="5031" max="5031" width="18.88671875" customWidth="1"/>
    <col min="5032" max="5032" width="19.44140625" customWidth="1"/>
    <col min="5033" max="5034" width="17.109375" bestFit="1" customWidth="1"/>
    <col min="5035" max="5035" width="11.44140625" customWidth="1"/>
    <col min="5036" max="5036" width="13.109375" customWidth="1"/>
    <col min="5037" max="5037" width="13" customWidth="1"/>
    <col min="5038" max="5038" width="13.109375" customWidth="1"/>
    <col min="5039" max="5039" width="11.44140625" customWidth="1"/>
    <col min="5040" max="5040" width="13.44140625" customWidth="1"/>
    <col min="5041" max="5041" width="12.44140625" customWidth="1"/>
    <col min="5042" max="5042" width="12.5546875" customWidth="1"/>
    <col min="5281" max="5281" width="65.109375" bestFit="1" customWidth="1"/>
    <col min="5282" max="5282" width="15.109375" customWidth="1"/>
    <col min="5283" max="5283" width="14.44140625" customWidth="1"/>
    <col min="5284" max="5286" width="17.109375" bestFit="1" customWidth="1"/>
    <col min="5287" max="5287" width="18.88671875" customWidth="1"/>
    <col min="5288" max="5288" width="19.44140625" customWidth="1"/>
    <col min="5289" max="5290" width="17.109375" bestFit="1" customWidth="1"/>
    <col min="5291" max="5291" width="11.44140625" customWidth="1"/>
    <col min="5292" max="5292" width="13.109375" customWidth="1"/>
    <col min="5293" max="5293" width="13" customWidth="1"/>
    <col min="5294" max="5294" width="13.109375" customWidth="1"/>
    <col min="5295" max="5295" width="11.44140625" customWidth="1"/>
    <col min="5296" max="5296" width="13.44140625" customWidth="1"/>
    <col min="5297" max="5297" width="12.44140625" customWidth="1"/>
    <col min="5298" max="5298" width="12.5546875" customWidth="1"/>
    <col min="5537" max="5537" width="65.109375" bestFit="1" customWidth="1"/>
    <col min="5538" max="5538" width="15.109375" customWidth="1"/>
    <col min="5539" max="5539" width="14.44140625" customWidth="1"/>
    <col min="5540" max="5542" width="17.109375" bestFit="1" customWidth="1"/>
    <col min="5543" max="5543" width="18.88671875" customWidth="1"/>
    <col min="5544" max="5544" width="19.44140625" customWidth="1"/>
    <col min="5545" max="5546" width="17.109375" bestFit="1" customWidth="1"/>
    <col min="5547" max="5547" width="11.44140625" customWidth="1"/>
    <col min="5548" max="5548" width="13.109375" customWidth="1"/>
    <col min="5549" max="5549" width="13" customWidth="1"/>
    <col min="5550" max="5550" width="13.109375" customWidth="1"/>
    <col min="5551" max="5551" width="11.44140625" customWidth="1"/>
    <col min="5552" max="5552" width="13.44140625" customWidth="1"/>
    <col min="5553" max="5553" width="12.44140625" customWidth="1"/>
    <col min="5554" max="5554" width="12.5546875" customWidth="1"/>
    <col min="5793" max="5793" width="65.109375" bestFit="1" customWidth="1"/>
    <col min="5794" max="5794" width="15.109375" customWidth="1"/>
    <col min="5795" max="5795" width="14.44140625" customWidth="1"/>
    <col min="5796" max="5798" width="17.109375" bestFit="1" customWidth="1"/>
    <col min="5799" max="5799" width="18.88671875" customWidth="1"/>
    <col min="5800" max="5800" width="19.44140625" customWidth="1"/>
    <col min="5801" max="5802" width="17.109375" bestFit="1" customWidth="1"/>
    <col min="5803" max="5803" width="11.44140625" customWidth="1"/>
    <col min="5804" max="5804" width="13.109375" customWidth="1"/>
    <col min="5805" max="5805" width="13" customWidth="1"/>
    <col min="5806" max="5806" width="13.109375" customWidth="1"/>
    <col min="5807" max="5807" width="11.44140625" customWidth="1"/>
    <col min="5808" max="5808" width="13.44140625" customWidth="1"/>
    <col min="5809" max="5809" width="12.44140625" customWidth="1"/>
    <col min="5810" max="5810" width="12.5546875" customWidth="1"/>
    <col min="6049" max="6049" width="65.109375" bestFit="1" customWidth="1"/>
    <col min="6050" max="6050" width="15.109375" customWidth="1"/>
    <col min="6051" max="6051" width="14.44140625" customWidth="1"/>
    <col min="6052" max="6054" width="17.109375" bestFit="1" customWidth="1"/>
    <col min="6055" max="6055" width="18.88671875" customWidth="1"/>
    <col min="6056" max="6056" width="19.44140625" customWidth="1"/>
    <col min="6057" max="6058" width="17.109375" bestFit="1" customWidth="1"/>
    <col min="6059" max="6059" width="11.44140625" customWidth="1"/>
    <col min="6060" max="6060" width="13.109375" customWidth="1"/>
    <col min="6061" max="6061" width="13" customWidth="1"/>
    <col min="6062" max="6062" width="13.109375" customWidth="1"/>
    <col min="6063" max="6063" width="11.44140625" customWidth="1"/>
    <col min="6064" max="6064" width="13.44140625" customWidth="1"/>
    <col min="6065" max="6065" width="12.44140625" customWidth="1"/>
    <col min="6066" max="6066" width="12.5546875" customWidth="1"/>
    <col min="6305" max="6305" width="65.109375" bestFit="1" customWidth="1"/>
    <col min="6306" max="6306" width="15.109375" customWidth="1"/>
    <col min="6307" max="6307" width="14.44140625" customWidth="1"/>
    <col min="6308" max="6310" width="17.109375" bestFit="1" customWidth="1"/>
    <col min="6311" max="6311" width="18.88671875" customWidth="1"/>
    <col min="6312" max="6312" width="19.44140625" customWidth="1"/>
    <col min="6313" max="6314" width="17.109375" bestFit="1" customWidth="1"/>
    <col min="6315" max="6315" width="11.44140625" customWidth="1"/>
    <col min="6316" max="6316" width="13.109375" customWidth="1"/>
    <col min="6317" max="6317" width="13" customWidth="1"/>
    <col min="6318" max="6318" width="13.109375" customWidth="1"/>
    <col min="6319" max="6319" width="11.44140625" customWidth="1"/>
    <col min="6320" max="6320" width="13.44140625" customWidth="1"/>
    <col min="6321" max="6321" width="12.44140625" customWidth="1"/>
    <col min="6322" max="6322" width="12.5546875" customWidth="1"/>
    <col min="6561" max="6561" width="65.109375" bestFit="1" customWidth="1"/>
    <col min="6562" max="6562" width="15.109375" customWidth="1"/>
    <col min="6563" max="6563" width="14.44140625" customWidth="1"/>
    <col min="6564" max="6566" width="17.109375" bestFit="1" customWidth="1"/>
    <col min="6567" max="6567" width="18.88671875" customWidth="1"/>
    <col min="6568" max="6568" width="19.44140625" customWidth="1"/>
    <col min="6569" max="6570" width="17.109375" bestFit="1" customWidth="1"/>
    <col min="6571" max="6571" width="11.44140625" customWidth="1"/>
    <col min="6572" max="6572" width="13.109375" customWidth="1"/>
    <col min="6573" max="6573" width="13" customWidth="1"/>
    <col min="6574" max="6574" width="13.109375" customWidth="1"/>
    <col min="6575" max="6575" width="11.44140625" customWidth="1"/>
    <col min="6576" max="6576" width="13.44140625" customWidth="1"/>
    <col min="6577" max="6577" width="12.44140625" customWidth="1"/>
    <col min="6578" max="6578" width="12.5546875" customWidth="1"/>
    <col min="6817" max="6817" width="65.109375" bestFit="1" customWidth="1"/>
    <col min="6818" max="6818" width="15.109375" customWidth="1"/>
    <col min="6819" max="6819" width="14.44140625" customWidth="1"/>
    <col min="6820" max="6822" width="17.109375" bestFit="1" customWidth="1"/>
    <col min="6823" max="6823" width="18.88671875" customWidth="1"/>
    <col min="6824" max="6824" width="19.44140625" customWidth="1"/>
    <col min="6825" max="6826" width="17.109375" bestFit="1" customWidth="1"/>
    <col min="6827" max="6827" width="11.44140625" customWidth="1"/>
    <col min="6828" max="6828" width="13.109375" customWidth="1"/>
    <col min="6829" max="6829" width="13" customWidth="1"/>
    <col min="6830" max="6830" width="13.109375" customWidth="1"/>
    <col min="6831" max="6831" width="11.44140625" customWidth="1"/>
    <col min="6832" max="6832" width="13.44140625" customWidth="1"/>
    <col min="6833" max="6833" width="12.44140625" customWidth="1"/>
    <col min="6834" max="6834" width="12.5546875" customWidth="1"/>
    <col min="7073" max="7073" width="65.109375" bestFit="1" customWidth="1"/>
    <col min="7074" max="7074" width="15.109375" customWidth="1"/>
    <col min="7075" max="7075" width="14.44140625" customWidth="1"/>
    <col min="7076" max="7078" width="17.109375" bestFit="1" customWidth="1"/>
    <col min="7079" max="7079" width="18.88671875" customWidth="1"/>
    <col min="7080" max="7080" width="19.44140625" customWidth="1"/>
    <col min="7081" max="7082" width="17.109375" bestFit="1" customWidth="1"/>
    <col min="7083" max="7083" width="11.44140625" customWidth="1"/>
    <col min="7084" max="7084" width="13.109375" customWidth="1"/>
    <col min="7085" max="7085" width="13" customWidth="1"/>
    <col min="7086" max="7086" width="13.109375" customWidth="1"/>
    <col min="7087" max="7087" width="11.44140625" customWidth="1"/>
    <col min="7088" max="7088" width="13.44140625" customWidth="1"/>
    <col min="7089" max="7089" width="12.44140625" customWidth="1"/>
    <col min="7090" max="7090" width="12.5546875" customWidth="1"/>
    <col min="7329" max="7329" width="65.109375" bestFit="1" customWidth="1"/>
    <col min="7330" max="7330" width="15.109375" customWidth="1"/>
    <col min="7331" max="7331" width="14.44140625" customWidth="1"/>
    <col min="7332" max="7334" width="17.109375" bestFit="1" customWidth="1"/>
    <col min="7335" max="7335" width="18.88671875" customWidth="1"/>
    <col min="7336" max="7336" width="19.44140625" customWidth="1"/>
    <col min="7337" max="7338" width="17.109375" bestFit="1" customWidth="1"/>
    <col min="7339" max="7339" width="11.44140625" customWidth="1"/>
    <col min="7340" max="7340" width="13.109375" customWidth="1"/>
    <col min="7341" max="7341" width="13" customWidth="1"/>
    <col min="7342" max="7342" width="13.109375" customWidth="1"/>
    <col min="7343" max="7343" width="11.44140625" customWidth="1"/>
    <col min="7344" max="7344" width="13.44140625" customWidth="1"/>
    <col min="7345" max="7345" width="12.44140625" customWidth="1"/>
    <col min="7346" max="7346" width="12.5546875" customWidth="1"/>
    <col min="7585" max="7585" width="65.109375" bestFit="1" customWidth="1"/>
    <col min="7586" max="7586" width="15.109375" customWidth="1"/>
    <col min="7587" max="7587" width="14.44140625" customWidth="1"/>
    <col min="7588" max="7590" width="17.109375" bestFit="1" customWidth="1"/>
    <col min="7591" max="7591" width="18.88671875" customWidth="1"/>
    <col min="7592" max="7592" width="19.44140625" customWidth="1"/>
    <col min="7593" max="7594" width="17.109375" bestFit="1" customWidth="1"/>
    <col min="7595" max="7595" width="11.44140625" customWidth="1"/>
    <col min="7596" max="7596" width="13.109375" customWidth="1"/>
    <col min="7597" max="7597" width="13" customWidth="1"/>
    <col min="7598" max="7598" width="13.109375" customWidth="1"/>
    <col min="7599" max="7599" width="11.44140625" customWidth="1"/>
    <col min="7600" max="7600" width="13.44140625" customWidth="1"/>
    <col min="7601" max="7601" width="12.44140625" customWidth="1"/>
    <col min="7602" max="7602" width="12.5546875" customWidth="1"/>
    <col min="7841" max="7841" width="65.109375" bestFit="1" customWidth="1"/>
    <col min="7842" max="7842" width="15.109375" customWidth="1"/>
    <col min="7843" max="7843" width="14.44140625" customWidth="1"/>
    <col min="7844" max="7846" width="17.109375" bestFit="1" customWidth="1"/>
    <col min="7847" max="7847" width="18.88671875" customWidth="1"/>
    <col min="7848" max="7848" width="19.44140625" customWidth="1"/>
    <col min="7849" max="7850" width="17.109375" bestFit="1" customWidth="1"/>
    <col min="7851" max="7851" width="11.44140625" customWidth="1"/>
    <col min="7852" max="7852" width="13.109375" customWidth="1"/>
    <col min="7853" max="7853" width="13" customWidth="1"/>
    <col min="7854" max="7854" width="13.109375" customWidth="1"/>
    <col min="7855" max="7855" width="11.44140625" customWidth="1"/>
    <col min="7856" max="7856" width="13.44140625" customWidth="1"/>
    <col min="7857" max="7857" width="12.44140625" customWidth="1"/>
    <col min="7858" max="7858" width="12.5546875" customWidth="1"/>
    <col min="8097" max="8097" width="65.109375" bestFit="1" customWidth="1"/>
    <col min="8098" max="8098" width="15.109375" customWidth="1"/>
    <col min="8099" max="8099" width="14.44140625" customWidth="1"/>
    <col min="8100" max="8102" width="17.109375" bestFit="1" customWidth="1"/>
    <col min="8103" max="8103" width="18.88671875" customWidth="1"/>
    <col min="8104" max="8104" width="19.44140625" customWidth="1"/>
    <col min="8105" max="8106" width="17.109375" bestFit="1" customWidth="1"/>
    <col min="8107" max="8107" width="11.44140625" customWidth="1"/>
    <col min="8108" max="8108" width="13.109375" customWidth="1"/>
    <col min="8109" max="8109" width="13" customWidth="1"/>
    <col min="8110" max="8110" width="13.109375" customWidth="1"/>
    <col min="8111" max="8111" width="11.44140625" customWidth="1"/>
    <col min="8112" max="8112" width="13.44140625" customWidth="1"/>
    <col min="8113" max="8113" width="12.44140625" customWidth="1"/>
    <col min="8114" max="8114" width="12.5546875" customWidth="1"/>
    <col min="8353" max="8353" width="65.109375" bestFit="1" customWidth="1"/>
    <col min="8354" max="8354" width="15.109375" customWidth="1"/>
    <col min="8355" max="8355" width="14.44140625" customWidth="1"/>
    <col min="8356" max="8358" width="17.109375" bestFit="1" customWidth="1"/>
    <col min="8359" max="8359" width="18.88671875" customWidth="1"/>
    <col min="8360" max="8360" width="19.44140625" customWidth="1"/>
    <col min="8361" max="8362" width="17.109375" bestFit="1" customWidth="1"/>
    <col min="8363" max="8363" width="11.44140625" customWidth="1"/>
    <col min="8364" max="8364" width="13.109375" customWidth="1"/>
    <col min="8365" max="8365" width="13" customWidth="1"/>
    <col min="8366" max="8366" width="13.109375" customWidth="1"/>
    <col min="8367" max="8367" width="11.44140625" customWidth="1"/>
    <col min="8368" max="8368" width="13.44140625" customWidth="1"/>
    <col min="8369" max="8369" width="12.44140625" customWidth="1"/>
    <col min="8370" max="8370" width="12.5546875" customWidth="1"/>
    <col min="8609" max="8609" width="65.109375" bestFit="1" customWidth="1"/>
    <col min="8610" max="8610" width="15.109375" customWidth="1"/>
    <col min="8611" max="8611" width="14.44140625" customWidth="1"/>
    <col min="8612" max="8614" width="17.109375" bestFit="1" customWidth="1"/>
    <col min="8615" max="8615" width="18.88671875" customWidth="1"/>
    <col min="8616" max="8616" width="19.44140625" customWidth="1"/>
    <col min="8617" max="8618" width="17.109375" bestFit="1" customWidth="1"/>
    <col min="8619" max="8619" width="11.44140625" customWidth="1"/>
    <col min="8620" max="8620" width="13.109375" customWidth="1"/>
    <col min="8621" max="8621" width="13" customWidth="1"/>
    <col min="8622" max="8622" width="13.109375" customWidth="1"/>
    <col min="8623" max="8623" width="11.44140625" customWidth="1"/>
    <col min="8624" max="8624" width="13.44140625" customWidth="1"/>
    <col min="8625" max="8625" width="12.44140625" customWidth="1"/>
    <col min="8626" max="8626" width="12.5546875" customWidth="1"/>
    <col min="8865" max="8865" width="65.109375" bestFit="1" customWidth="1"/>
    <col min="8866" max="8866" width="15.109375" customWidth="1"/>
    <col min="8867" max="8867" width="14.44140625" customWidth="1"/>
    <col min="8868" max="8870" width="17.109375" bestFit="1" customWidth="1"/>
    <col min="8871" max="8871" width="18.88671875" customWidth="1"/>
    <col min="8872" max="8872" width="19.44140625" customWidth="1"/>
    <col min="8873" max="8874" width="17.109375" bestFit="1" customWidth="1"/>
    <col min="8875" max="8875" width="11.44140625" customWidth="1"/>
    <col min="8876" max="8876" width="13.109375" customWidth="1"/>
    <col min="8877" max="8877" width="13" customWidth="1"/>
    <col min="8878" max="8878" width="13.109375" customWidth="1"/>
    <col min="8879" max="8879" width="11.44140625" customWidth="1"/>
    <col min="8880" max="8880" width="13.44140625" customWidth="1"/>
    <col min="8881" max="8881" width="12.44140625" customWidth="1"/>
    <col min="8882" max="8882" width="12.5546875" customWidth="1"/>
    <col min="9121" max="9121" width="65.109375" bestFit="1" customWidth="1"/>
    <col min="9122" max="9122" width="15.109375" customWidth="1"/>
    <col min="9123" max="9123" width="14.44140625" customWidth="1"/>
    <col min="9124" max="9126" width="17.109375" bestFit="1" customWidth="1"/>
    <col min="9127" max="9127" width="18.88671875" customWidth="1"/>
    <col min="9128" max="9128" width="19.44140625" customWidth="1"/>
    <col min="9129" max="9130" width="17.109375" bestFit="1" customWidth="1"/>
    <col min="9131" max="9131" width="11.44140625" customWidth="1"/>
    <col min="9132" max="9132" width="13.109375" customWidth="1"/>
    <col min="9133" max="9133" width="13" customWidth="1"/>
    <col min="9134" max="9134" width="13.109375" customWidth="1"/>
    <col min="9135" max="9135" width="11.44140625" customWidth="1"/>
    <col min="9136" max="9136" width="13.44140625" customWidth="1"/>
    <col min="9137" max="9137" width="12.44140625" customWidth="1"/>
    <col min="9138" max="9138" width="12.5546875" customWidth="1"/>
    <col min="9377" max="9377" width="65.109375" bestFit="1" customWidth="1"/>
    <col min="9378" max="9378" width="15.109375" customWidth="1"/>
    <col min="9379" max="9379" width="14.44140625" customWidth="1"/>
    <col min="9380" max="9382" width="17.109375" bestFit="1" customWidth="1"/>
    <col min="9383" max="9383" width="18.88671875" customWidth="1"/>
    <col min="9384" max="9384" width="19.44140625" customWidth="1"/>
    <col min="9385" max="9386" width="17.109375" bestFit="1" customWidth="1"/>
    <col min="9387" max="9387" width="11.44140625" customWidth="1"/>
    <col min="9388" max="9388" width="13.109375" customWidth="1"/>
    <col min="9389" max="9389" width="13" customWidth="1"/>
    <col min="9390" max="9390" width="13.109375" customWidth="1"/>
    <col min="9391" max="9391" width="11.44140625" customWidth="1"/>
    <col min="9392" max="9392" width="13.44140625" customWidth="1"/>
    <col min="9393" max="9393" width="12.44140625" customWidth="1"/>
    <col min="9394" max="9394" width="12.5546875" customWidth="1"/>
    <col min="9633" max="9633" width="65.109375" bestFit="1" customWidth="1"/>
    <col min="9634" max="9634" width="15.109375" customWidth="1"/>
    <col min="9635" max="9635" width="14.44140625" customWidth="1"/>
    <col min="9636" max="9638" width="17.109375" bestFit="1" customWidth="1"/>
    <col min="9639" max="9639" width="18.88671875" customWidth="1"/>
    <col min="9640" max="9640" width="19.44140625" customWidth="1"/>
    <col min="9641" max="9642" width="17.109375" bestFit="1" customWidth="1"/>
    <col min="9643" max="9643" width="11.44140625" customWidth="1"/>
    <col min="9644" max="9644" width="13.109375" customWidth="1"/>
    <col min="9645" max="9645" width="13" customWidth="1"/>
    <col min="9646" max="9646" width="13.109375" customWidth="1"/>
    <col min="9647" max="9647" width="11.44140625" customWidth="1"/>
    <col min="9648" max="9648" width="13.44140625" customWidth="1"/>
    <col min="9649" max="9649" width="12.44140625" customWidth="1"/>
    <col min="9650" max="9650" width="12.5546875" customWidth="1"/>
    <col min="9889" max="9889" width="65.109375" bestFit="1" customWidth="1"/>
    <col min="9890" max="9890" width="15.109375" customWidth="1"/>
    <col min="9891" max="9891" width="14.44140625" customWidth="1"/>
    <col min="9892" max="9894" width="17.109375" bestFit="1" customWidth="1"/>
    <col min="9895" max="9895" width="18.88671875" customWidth="1"/>
    <col min="9896" max="9896" width="19.44140625" customWidth="1"/>
    <col min="9897" max="9898" width="17.109375" bestFit="1" customWidth="1"/>
    <col min="9899" max="9899" width="11.44140625" customWidth="1"/>
    <col min="9900" max="9900" width="13.109375" customWidth="1"/>
    <col min="9901" max="9901" width="13" customWidth="1"/>
    <col min="9902" max="9902" width="13.109375" customWidth="1"/>
    <col min="9903" max="9903" width="11.44140625" customWidth="1"/>
    <col min="9904" max="9904" width="13.44140625" customWidth="1"/>
    <col min="9905" max="9905" width="12.44140625" customWidth="1"/>
    <col min="9906" max="9906" width="12.5546875" customWidth="1"/>
    <col min="10145" max="10145" width="65.109375" bestFit="1" customWidth="1"/>
    <col min="10146" max="10146" width="15.109375" customWidth="1"/>
    <col min="10147" max="10147" width="14.44140625" customWidth="1"/>
    <col min="10148" max="10150" width="17.109375" bestFit="1" customWidth="1"/>
    <col min="10151" max="10151" width="18.88671875" customWidth="1"/>
    <col min="10152" max="10152" width="19.44140625" customWidth="1"/>
    <col min="10153" max="10154" width="17.109375" bestFit="1" customWidth="1"/>
    <col min="10155" max="10155" width="11.44140625" customWidth="1"/>
    <col min="10156" max="10156" width="13.109375" customWidth="1"/>
    <col min="10157" max="10157" width="13" customWidth="1"/>
    <col min="10158" max="10158" width="13.109375" customWidth="1"/>
    <col min="10159" max="10159" width="11.44140625" customWidth="1"/>
    <col min="10160" max="10160" width="13.44140625" customWidth="1"/>
    <col min="10161" max="10161" width="12.44140625" customWidth="1"/>
    <col min="10162" max="10162" width="12.5546875" customWidth="1"/>
    <col min="10401" max="10401" width="65.109375" bestFit="1" customWidth="1"/>
    <col min="10402" max="10402" width="15.109375" customWidth="1"/>
    <col min="10403" max="10403" width="14.44140625" customWidth="1"/>
    <col min="10404" max="10406" width="17.109375" bestFit="1" customWidth="1"/>
    <col min="10407" max="10407" width="18.88671875" customWidth="1"/>
    <col min="10408" max="10408" width="19.44140625" customWidth="1"/>
    <col min="10409" max="10410" width="17.109375" bestFit="1" customWidth="1"/>
    <col min="10411" max="10411" width="11.44140625" customWidth="1"/>
    <col min="10412" max="10412" width="13.109375" customWidth="1"/>
    <col min="10413" max="10413" width="13" customWidth="1"/>
    <col min="10414" max="10414" width="13.109375" customWidth="1"/>
    <col min="10415" max="10415" width="11.44140625" customWidth="1"/>
    <col min="10416" max="10416" width="13.44140625" customWidth="1"/>
    <col min="10417" max="10417" width="12.44140625" customWidth="1"/>
    <col min="10418" max="10418" width="12.5546875" customWidth="1"/>
    <col min="10657" max="10657" width="65.109375" bestFit="1" customWidth="1"/>
    <col min="10658" max="10658" width="15.109375" customWidth="1"/>
    <col min="10659" max="10659" width="14.44140625" customWidth="1"/>
    <col min="10660" max="10662" width="17.109375" bestFit="1" customWidth="1"/>
    <col min="10663" max="10663" width="18.88671875" customWidth="1"/>
    <col min="10664" max="10664" width="19.44140625" customWidth="1"/>
    <col min="10665" max="10666" width="17.109375" bestFit="1" customWidth="1"/>
    <col min="10667" max="10667" width="11.44140625" customWidth="1"/>
    <col min="10668" max="10668" width="13.109375" customWidth="1"/>
    <col min="10669" max="10669" width="13" customWidth="1"/>
    <col min="10670" max="10670" width="13.109375" customWidth="1"/>
    <col min="10671" max="10671" width="11.44140625" customWidth="1"/>
    <col min="10672" max="10672" width="13.44140625" customWidth="1"/>
    <col min="10673" max="10673" width="12.44140625" customWidth="1"/>
    <col min="10674" max="10674" width="12.5546875" customWidth="1"/>
    <col min="10913" max="10913" width="65.109375" bestFit="1" customWidth="1"/>
    <col min="10914" max="10914" width="15.109375" customWidth="1"/>
    <col min="10915" max="10915" width="14.44140625" customWidth="1"/>
    <col min="10916" max="10918" width="17.109375" bestFit="1" customWidth="1"/>
    <col min="10919" max="10919" width="18.88671875" customWidth="1"/>
    <col min="10920" max="10920" width="19.44140625" customWidth="1"/>
    <col min="10921" max="10922" width="17.109375" bestFit="1" customWidth="1"/>
    <col min="10923" max="10923" width="11.44140625" customWidth="1"/>
    <col min="10924" max="10924" width="13.109375" customWidth="1"/>
    <col min="10925" max="10925" width="13" customWidth="1"/>
    <col min="10926" max="10926" width="13.109375" customWidth="1"/>
    <col min="10927" max="10927" width="11.44140625" customWidth="1"/>
    <col min="10928" max="10928" width="13.44140625" customWidth="1"/>
    <col min="10929" max="10929" width="12.44140625" customWidth="1"/>
    <col min="10930" max="10930" width="12.5546875" customWidth="1"/>
    <col min="11169" max="11169" width="65.109375" bestFit="1" customWidth="1"/>
    <col min="11170" max="11170" width="15.109375" customWidth="1"/>
    <col min="11171" max="11171" width="14.44140625" customWidth="1"/>
    <col min="11172" max="11174" width="17.109375" bestFit="1" customWidth="1"/>
    <col min="11175" max="11175" width="18.88671875" customWidth="1"/>
    <col min="11176" max="11176" width="19.44140625" customWidth="1"/>
    <col min="11177" max="11178" width="17.109375" bestFit="1" customWidth="1"/>
    <col min="11179" max="11179" width="11.44140625" customWidth="1"/>
    <col min="11180" max="11180" width="13.109375" customWidth="1"/>
    <col min="11181" max="11181" width="13" customWidth="1"/>
    <col min="11182" max="11182" width="13.109375" customWidth="1"/>
    <col min="11183" max="11183" width="11.44140625" customWidth="1"/>
    <col min="11184" max="11184" width="13.44140625" customWidth="1"/>
    <col min="11185" max="11185" width="12.44140625" customWidth="1"/>
    <col min="11186" max="11186" width="12.5546875" customWidth="1"/>
    <col min="11425" max="11425" width="65.109375" bestFit="1" customWidth="1"/>
    <col min="11426" max="11426" width="15.109375" customWidth="1"/>
    <col min="11427" max="11427" width="14.44140625" customWidth="1"/>
    <col min="11428" max="11430" width="17.109375" bestFit="1" customWidth="1"/>
    <col min="11431" max="11431" width="18.88671875" customWidth="1"/>
    <col min="11432" max="11432" width="19.44140625" customWidth="1"/>
    <col min="11433" max="11434" width="17.109375" bestFit="1" customWidth="1"/>
    <col min="11435" max="11435" width="11.44140625" customWidth="1"/>
    <col min="11436" max="11436" width="13.109375" customWidth="1"/>
    <col min="11437" max="11437" width="13" customWidth="1"/>
    <col min="11438" max="11438" width="13.109375" customWidth="1"/>
    <col min="11439" max="11439" width="11.44140625" customWidth="1"/>
    <col min="11440" max="11440" width="13.44140625" customWidth="1"/>
    <col min="11441" max="11441" width="12.44140625" customWidth="1"/>
    <col min="11442" max="11442" width="12.5546875" customWidth="1"/>
    <col min="11681" max="11681" width="65.109375" bestFit="1" customWidth="1"/>
    <col min="11682" max="11682" width="15.109375" customWidth="1"/>
    <col min="11683" max="11683" width="14.44140625" customWidth="1"/>
    <col min="11684" max="11686" width="17.109375" bestFit="1" customWidth="1"/>
    <col min="11687" max="11687" width="18.88671875" customWidth="1"/>
    <col min="11688" max="11688" width="19.44140625" customWidth="1"/>
    <col min="11689" max="11690" width="17.109375" bestFit="1" customWidth="1"/>
    <col min="11691" max="11691" width="11.44140625" customWidth="1"/>
    <col min="11692" max="11692" width="13.109375" customWidth="1"/>
    <col min="11693" max="11693" width="13" customWidth="1"/>
    <col min="11694" max="11694" width="13.109375" customWidth="1"/>
    <col min="11695" max="11695" width="11.44140625" customWidth="1"/>
    <col min="11696" max="11696" width="13.44140625" customWidth="1"/>
    <col min="11697" max="11697" width="12.44140625" customWidth="1"/>
    <col min="11698" max="11698" width="12.5546875" customWidth="1"/>
    <col min="11937" max="11937" width="65.109375" bestFit="1" customWidth="1"/>
    <col min="11938" max="11938" width="15.109375" customWidth="1"/>
    <col min="11939" max="11939" width="14.44140625" customWidth="1"/>
    <col min="11940" max="11942" width="17.109375" bestFit="1" customWidth="1"/>
    <col min="11943" max="11943" width="18.88671875" customWidth="1"/>
    <col min="11944" max="11944" width="19.44140625" customWidth="1"/>
    <col min="11945" max="11946" width="17.109375" bestFit="1" customWidth="1"/>
    <col min="11947" max="11947" width="11.44140625" customWidth="1"/>
    <col min="11948" max="11948" width="13.109375" customWidth="1"/>
    <col min="11949" max="11949" width="13" customWidth="1"/>
    <col min="11950" max="11950" width="13.109375" customWidth="1"/>
    <col min="11951" max="11951" width="11.44140625" customWidth="1"/>
    <col min="11952" max="11952" width="13.44140625" customWidth="1"/>
    <col min="11953" max="11953" width="12.44140625" customWidth="1"/>
    <col min="11954" max="11954" width="12.5546875" customWidth="1"/>
    <col min="12193" max="12193" width="65.109375" bestFit="1" customWidth="1"/>
    <col min="12194" max="12194" width="15.109375" customWidth="1"/>
    <col min="12195" max="12195" width="14.44140625" customWidth="1"/>
    <col min="12196" max="12198" width="17.109375" bestFit="1" customWidth="1"/>
    <col min="12199" max="12199" width="18.88671875" customWidth="1"/>
    <col min="12200" max="12200" width="19.44140625" customWidth="1"/>
    <col min="12201" max="12202" width="17.109375" bestFit="1" customWidth="1"/>
    <col min="12203" max="12203" width="11.44140625" customWidth="1"/>
    <col min="12204" max="12204" width="13.109375" customWidth="1"/>
    <col min="12205" max="12205" width="13" customWidth="1"/>
    <col min="12206" max="12206" width="13.109375" customWidth="1"/>
    <col min="12207" max="12207" width="11.44140625" customWidth="1"/>
    <col min="12208" max="12208" width="13.44140625" customWidth="1"/>
    <col min="12209" max="12209" width="12.44140625" customWidth="1"/>
    <col min="12210" max="12210" width="12.5546875" customWidth="1"/>
    <col min="12449" max="12449" width="65.109375" bestFit="1" customWidth="1"/>
    <col min="12450" max="12450" width="15.109375" customWidth="1"/>
    <col min="12451" max="12451" width="14.44140625" customWidth="1"/>
    <col min="12452" max="12454" width="17.109375" bestFit="1" customWidth="1"/>
    <col min="12455" max="12455" width="18.88671875" customWidth="1"/>
    <col min="12456" max="12456" width="19.44140625" customWidth="1"/>
    <col min="12457" max="12458" width="17.109375" bestFit="1" customWidth="1"/>
    <col min="12459" max="12459" width="11.44140625" customWidth="1"/>
    <col min="12460" max="12460" width="13.109375" customWidth="1"/>
    <col min="12461" max="12461" width="13" customWidth="1"/>
    <col min="12462" max="12462" width="13.109375" customWidth="1"/>
    <col min="12463" max="12463" width="11.44140625" customWidth="1"/>
    <col min="12464" max="12464" width="13.44140625" customWidth="1"/>
    <col min="12465" max="12465" width="12.44140625" customWidth="1"/>
    <col min="12466" max="12466" width="12.5546875" customWidth="1"/>
    <col min="12705" max="12705" width="65.109375" bestFit="1" customWidth="1"/>
    <col min="12706" max="12706" width="15.109375" customWidth="1"/>
    <col min="12707" max="12707" width="14.44140625" customWidth="1"/>
    <col min="12708" max="12710" width="17.109375" bestFit="1" customWidth="1"/>
    <col min="12711" max="12711" width="18.88671875" customWidth="1"/>
    <col min="12712" max="12712" width="19.44140625" customWidth="1"/>
    <col min="12713" max="12714" width="17.109375" bestFit="1" customWidth="1"/>
    <col min="12715" max="12715" width="11.44140625" customWidth="1"/>
    <col min="12716" max="12716" width="13.109375" customWidth="1"/>
    <col min="12717" max="12717" width="13" customWidth="1"/>
    <col min="12718" max="12718" width="13.109375" customWidth="1"/>
    <col min="12719" max="12719" width="11.44140625" customWidth="1"/>
    <col min="12720" max="12720" width="13.44140625" customWidth="1"/>
    <col min="12721" max="12721" width="12.44140625" customWidth="1"/>
    <col min="12722" max="12722" width="12.5546875" customWidth="1"/>
    <col min="12961" max="12961" width="65.109375" bestFit="1" customWidth="1"/>
    <col min="12962" max="12962" width="15.109375" customWidth="1"/>
    <col min="12963" max="12963" width="14.44140625" customWidth="1"/>
    <col min="12964" max="12966" width="17.109375" bestFit="1" customWidth="1"/>
    <col min="12967" max="12967" width="18.88671875" customWidth="1"/>
    <col min="12968" max="12968" width="19.44140625" customWidth="1"/>
    <col min="12969" max="12970" width="17.109375" bestFit="1" customWidth="1"/>
    <col min="12971" max="12971" width="11.44140625" customWidth="1"/>
    <col min="12972" max="12972" width="13.109375" customWidth="1"/>
    <col min="12973" max="12973" width="13" customWidth="1"/>
    <col min="12974" max="12974" width="13.109375" customWidth="1"/>
    <col min="12975" max="12975" width="11.44140625" customWidth="1"/>
    <col min="12976" max="12976" width="13.44140625" customWidth="1"/>
    <col min="12977" max="12977" width="12.44140625" customWidth="1"/>
    <col min="12978" max="12978" width="12.5546875" customWidth="1"/>
    <col min="13217" max="13217" width="65.109375" bestFit="1" customWidth="1"/>
    <col min="13218" max="13218" width="15.109375" customWidth="1"/>
    <col min="13219" max="13219" width="14.44140625" customWidth="1"/>
    <col min="13220" max="13222" width="17.109375" bestFit="1" customWidth="1"/>
    <col min="13223" max="13223" width="18.88671875" customWidth="1"/>
    <col min="13224" max="13224" width="19.44140625" customWidth="1"/>
    <col min="13225" max="13226" width="17.109375" bestFit="1" customWidth="1"/>
    <col min="13227" max="13227" width="11.44140625" customWidth="1"/>
    <col min="13228" max="13228" width="13.109375" customWidth="1"/>
    <col min="13229" max="13229" width="13" customWidth="1"/>
    <col min="13230" max="13230" width="13.109375" customWidth="1"/>
    <col min="13231" max="13231" width="11.44140625" customWidth="1"/>
    <col min="13232" max="13232" width="13.44140625" customWidth="1"/>
    <col min="13233" max="13233" width="12.44140625" customWidth="1"/>
    <col min="13234" max="13234" width="12.5546875" customWidth="1"/>
    <col min="13473" max="13473" width="65.109375" bestFit="1" customWidth="1"/>
    <col min="13474" max="13474" width="15.109375" customWidth="1"/>
    <col min="13475" max="13475" width="14.44140625" customWidth="1"/>
    <col min="13476" max="13478" width="17.109375" bestFit="1" customWidth="1"/>
    <col min="13479" max="13479" width="18.88671875" customWidth="1"/>
    <col min="13480" max="13480" width="19.44140625" customWidth="1"/>
    <col min="13481" max="13482" width="17.109375" bestFit="1" customWidth="1"/>
    <col min="13483" max="13483" width="11.44140625" customWidth="1"/>
    <col min="13484" max="13484" width="13.109375" customWidth="1"/>
    <col min="13485" max="13485" width="13" customWidth="1"/>
    <col min="13486" max="13486" width="13.109375" customWidth="1"/>
    <col min="13487" max="13487" width="11.44140625" customWidth="1"/>
    <col min="13488" max="13488" width="13.44140625" customWidth="1"/>
    <col min="13489" max="13489" width="12.44140625" customWidth="1"/>
    <col min="13490" max="13490" width="12.5546875" customWidth="1"/>
    <col min="13729" max="13729" width="65.109375" bestFit="1" customWidth="1"/>
    <col min="13730" max="13730" width="15.109375" customWidth="1"/>
    <col min="13731" max="13731" width="14.44140625" customWidth="1"/>
    <col min="13732" max="13734" width="17.109375" bestFit="1" customWidth="1"/>
    <col min="13735" max="13735" width="18.88671875" customWidth="1"/>
    <col min="13736" max="13736" width="19.44140625" customWidth="1"/>
    <col min="13737" max="13738" width="17.109375" bestFit="1" customWidth="1"/>
    <col min="13739" max="13739" width="11.44140625" customWidth="1"/>
    <col min="13740" max="13740" width="13.109375" customWidth="1"/>
    <col min="13741" max="13741" width="13" customWidth="1"/>
    <col min="13742" max="13742" width="13.109375" customWidth="1"/>
    <col min="13743" max="13743" width="11.44140625" customWidth="1"/>
    <col min="13744" max="13744" width="13.44140625" customWidth="1"/>
    <col min="13745" max="13745" width="12.44140625" customWidth="1"/>
    <col min="13746" max="13746" width="12.5546875" customWidth="1"/>
    <col min="13985" max="13985" width="65.109375" bestFit="1" customWidth="1"/>
    <col min="13986" max="13986" width="15.109375" customWidth="1"/>
    <col min="13987" max="13987" width="14.44140625" customWidth="1"/>
    <col min="13988" max="13990" width="17.109375" bestFit="1" customWidth="1"/>
    <col min="13991" max="13991" width="18.88671875" customWidth="1"/>
    <col min="13992" max="13992" width="19.44140625" customWidth="1"/>
    <col min="13993" max="13994" width="17.109375" bestFit="1" customWidth="1"/>
    <col min="13995" max="13995" width="11.44140625" customWidth="1"/>
    <col min="13996" max="13996" width="13.109375" customWidth="1"/>
    <col min="13997" max="13997" width="13" customWidth="1"/>
    <col min="13998" max="13998" width="13.109375" customWidth="1"/>
    <col min="13999" max="13999" width="11.44140625" customWidth="1"/>
    <col min="14000" max="14000" width="13.44140625" customWidth="1"/>
    <col min="14001" max="14001" width="12.44140625" customWidth="1"/>
    <col min="14002" max="14002" width="12.5546875" customWidth="1"/>
    <col min="14241" max="14241" width="65.109375" bestFit="1" customWidth="1"/>
    <col min="14242" max="14242" width="15.109375" customWidth="1"/>
    <col min="14243" max="14243" width="14.44140625" customWidth="1"/>
    <col min="14244" max="14246" width="17.109375" bestFit="1" customWidth="1"/>
    <col min="14247" max="14247" width="18.88671875" customWidth="1"/>
    <col min="14248" max="14248" width="19.44140625" customWidth="1"/>
    <col min="14249" max="14250" width="17.109375" bestFit="1" customWidth="1"/>
    <col min="14251" max="14251" width="11.44140625" customWidth="1"/>
    <col min="14252" max="14252" width="13.109375" customWidth="1"/>
    <col min="14253" max="14253" width="13" customWidth="1"/>
    <col min="14254" max="14254" width="13.109375" customWidth="1"/>
    <col min="14255" max="14255" width="11.44140625" customWidth="1"/>
    <col min="14256" max="14256" width="13.44140625" customWidth="1"/>
    <col min="14257" max="14257" width="12.44140625" customWidth="1"/>
    <col min="14258" max="14258" width="12.5546875" customWidth="1"/>
    <col min="14497" max="14497" width="65.109375" bestFit="1" customWidth="1"/>
    <col min="14498" max="14498" width="15.109375" customWidth="1"/>
    <col min="14499" max="14499" width="14.44140625" customWidth="1"/>
    <col min="14500" max="14502" width="17.109375" bestFit="1" customWidth="1"/>
    <col min="14503" max="14503" width="18.88671875" customWidth="1"/>
    <col min="14504" max="14504" width="19.44140625" customWidth="1"/>
    <col min="14505" max="14506" width="17.109375" bestFit="1" customWidth="1"/>
    <col min="14507" max="14507" width="11.44140625" customWidth="1"/>
    <col min="14508" max="14508" width="13.109375" customWidth="1"/>
    <col min="14509" max="14509" width="13" customWidth="1"/>
    <col min="14510" max="14510" width="13.109375" customWidth="1"/>
    <col min="14511" max="14511" width="11.44140625" customWidth="1"/>
    <col min="14512" max="14512" width="13.44140625" customWidth="1"/>
    <col min="14513" max="14513" width="12.44140625" customWidth="1"/>
    <col min="14514" max="14514" width="12.5546875" customWidth="1"/>
    <col min="14753" max="14753" width="65.109375" bestFit="1" customWidth="1"/>
    <col min="14754" max="14754" width="15.109375" customWidth="1"/>
    <col min="14755" max="14755" width="14.44140625" customWidth="1"/>
    <col min="14756" max="14758" width="17.109375" bestFit="1" customWidth="1"/>
    <col min="14759" max="14759" width="18.88671875" customWidth="1"/>
    <col min="14760" max="14760" width="19.44140625" customWidth="1"/>
    <col min="14761" max="14762" width="17.109375" bestFit="1" customWidth="1"/>
    <col min="14763" max="14763" width="11.44140625" customWidth="1"/>
    <col min="14764" max="14764" width="13.109375" customWidth="1"/>
    <col min="14765" max="14765" width="13" customWidth="1"/>
    <col min="14766" max="14766" width="13.109375" customWidth="1"/>
    <col min="14767" max="14767" width="11.44140625" customWidth="1"/>
    <col min="14768" max="14768" width="13.44140625" customWidth="1"/>
    <col min="14769" max="14769" width="12.44140625" customWidth="1"/>
    <col min="14770" max="14770" width="12.5546875" customWidth="1"/>
    <col min="15009" max="15009" width="65.109375" bestFit="1" customWidth="1"/>
    <col min="15010" max="15010" width="15.109375" customWidth="1"/>
    <col min="15011" max="15011" width="14.44140625" customWidth="1"/>
    <col min="15012" max="15014" width="17.109375" bestFit="1" customWidth="1"/>
    <col min="15015" max="15015" width="18.88671875" customWidth="1"/>
    <col min="15016" max="15016" width="19.44140625" customWidth="1"/>
    <col min="15017" max="15018" width="17.109375" bestFit="1" customWidth="1"/>
    <col min="15019" max="15019" width="11.44140625" customWidth="1"/>
    <col min="15020" max="15020" width="13.109375" customWidth="1"/>
    <col min="15021" max="15021" width="13" customWidth="1"/>
    <col min="15022" max="15022" width="13.109375" customWidth="1"/>
    <col min="15023" max="15023" width="11.44140625" customWidth="1"/>
    <col min="15024" max="15024" width="13.44140625" customWidth="1"/>
    <col min="15025" max="15025" width="12.44140625" customWidth="1"/>
    <col min="15026" max="15026" width="12.5546875" customWidth="1"/>
    <col min="15265" max="15265" width="65.109375" bestFit="1" customWidth="1"/>
    <col min="15266" max="15266" width="15.109375" customWidth="1"/>
    <col min="15267" max="15267" width="14.44140625" customWidth="1"/>
    <col min="15268" max="15270" width="17.109375" bestFit="1" customWidth="1"/>
    <col min="15271" max="15271" width="18.88671875" customWidth="1"/>
    <col min="15272" max="15272" width="19.44140625" customWidth="1"/>
    <col min="15273" max="15274" width="17.109375" bestFit="1" customWidth="1"/>
    <col min="15275" max="15275" width="11.44140625" customWidth="1"/>
    <col min="15276" max="15276" width="13.109375" customWidth="1"/>
    <col min="15277" max="15277" width="13" customWidth="1"/>
    <col min="15278" max="15278" width="13.109375" customWidth="1"/>
    <col min="15279" max="15279" width="11.44140625" customWidth="1"/>
    <col min="15280" max="15280" width="13.44140625" customWidth="1"/>
    <col min="15281" max="15281" width="12.44140625" customWidth="1"/>
    <col min="15282" max="15282" width="12.5546875" customWidth="1"/>
    <col min="15521" max="15521" width="65.109375" bestFit="1" customWidth="1"/>
    <col min="15522" max="15522" width="15.109375" customWidth="1"/>
    <col min="15523" max="15523" width="14.44140625" customWidth="1"/>
    <col min="15524" max="15526" width="17.109375" bestFit="1" customWidth="1"/>
    <col min="15527" max="15527" width="18.88671875" customWidth="1"/>
    <col min="15528" max="15528" width="19.44140625" customWidth="1"/>
    <col min="15529" max="15530" width="17.109375" bestFit="1" customWidth="1"/>
    <col min="15531" max="15531" width="11.44140625" customWidth="1"/>
    <col min="15532" max="15532" width="13.109375" customWidth="1"/>
    <col min="15533" max="15533" width="13" customWidth="1"/>
    <col min="15534" max="15534" width="13.109375" customWidth="1"/>
    <col min="15535" max="15535" width="11.44140625" customWidth="1"/>
    <col min="15536" max="15536" width="13.44140625" customWidth="1"/>
    <col min="15537" max="15537" width="12.44140625" customWidth="1"/>
    <col min="15538" max="15538" width="12.5546875" customWidth="1"/>
    <col min="15777" max="15777" width="65.109375" bestFit="1" customWidth="1"/>
    <col min="15778" max="15778" width="15.109375" customWidth="1"/>
    <col min="15779" max="15779" width="14.44140625" customWidth="1"/>
    <col min="15780" max="15782" width="17.109375" bestFit="1" customWidth="1"/>
    <col min="15783" max="15783" width="18.88671875" customWidth="1"/>
    <col min="15784" max="15784" width="19.44140625" customWidth="1"/>
    <col min="15785" max="15786" width="17.109375" bestFit="1" customWidth="1"/>
    <col min="15787" max="15787" width="11.44140625" customWidth="1"/>
    <col min="15788" max="15788" width="13.109375" customWidth="1"/>
    <col min="15789" max="15789" width="13" customWidth="1"/>
    <col min="15790" max="15790" width="13.109375" customWidth="1"/>
    <col min="15791" max="15791" width="11.44140625" customWidth="1"/>
    <col min="15792" max="15792" width="13.44140625" customWidth="1"/>
    <col min="15793" max="15793" width="12.44140625" customWidth="1"/>
    <col min="15794" max="15794" width="12.5546875" customWidth="1"/>
    <col min="16033" max="16033" width="65.109375" bestFit="1" customWidth="1"/>
    <col min="16034" max="16034" width="15.109375" customWidth="1"/>
    <col min="16035" max="16035" width="14.44140625" customWidth="1"/>
    <col min="16036" max="16038" width="17.109375" bestFit="1" customWidth="1"/>
    <col min="16039" max="16039" width="18.88671875" customWidth="1"/>
    <col min="16040" max="16040" width="19.44140625" customWidth="1"/>
    <col min="16041" max="16042" width="17.109375" bestFit="1" customWidth="1"/>
    <col min="16043" max="16043" width="11.44140625" customWidth="1"/>
    <col min="16044" max="16044" width="13.109375" customWidth="1"/>
    <col min="16045" max="16045" width="13" customWidth="1"/>
    <col min="16046" max="16046" width="13.109375" customWidth="1"/>
    <col min="16047" max="16047" width="11.44140625" customWidth="1"/>
    <col min="16048" max="16048" width="13.44140625" customWidth="1"/>
    <col min="16049" max="16049" width="12.44140625" customWidth="1"/>
    <col min="16050" max="16050" width="12.5546875" customWidth="1"/>
  </cols>
  <sheetData>
    <row r="1" spans="1:2" x14ac:dyDescent="0.3">
      <c r="A1" s="93" t="s">
        <v>64</v>
      </c>
      <c r="B1" s="93" t="s">
        <v>65</v>
      </c>
    </row>
    <row r="2" spans="1:2" x14ac:dyDescent="0.3">
      <c r="A2" s="94">
        <v>1</v>
      </c>
      <c r="B2" s="93" t="s">
        <v>1</v>
      </c>
    </row>
    <row r="3" spans="1:2" x14ac:dyDescent="0.3">
      <c r="A3" s="94">
        <v>2</v>
      </c>
      <c r="B3" s="93" t="s">
        <v>3</v>
      </c>
    </row>
    <row r="4" spans="1:2" x14ac:dyDescent="0.3">
      <c r="A4" s="94">
        <v>3</v>
      </c>
      <c r="B4" s="93" t="s">
        <v>4</v>
      </c>
    </row>
    <row r="5" spans="1:2" x14ac:dyDescent="0.3">
      <c r="A5" s="94">
        <v>4</v>
      </c>
      <c r="B5" s="93" t="s">
        <v>5</v>
      </c>
    </row>
    <row r="6" spans="1:2" x14ac:dyDescent="0.3">
      <c r="A6" s="94">
        <v>5</v>
      </c>
      <c r="B6" s="93" t="s">
        <v>6</v>
      </c>
    </row>
    <row r="7" spans="1:2" x14ac:dyDescent="0.3">
      <c r="A7" s="94">
        <v>6</v>
      </c>
      <c r="B7" s="93" t="s">
        <v>7</v>
      </c>
    </row>
    <row r="8" spans="1:2" x14ac:dyDescent="0.3">
      <c r="A8" s="94">
        <v>7</v>
      </c>
      <c r="B8" s="93" t="s">
        <v>8</v>
      </c>
    </row>
    <row r="9" spans="1:2" x14ac:dyDescent="0.3">
      <c r="A9" s="94">
        <v>8</v>
      </c>
      <c r="B9" s="93" t="s">
        <v>9</v>
      </c>
    </row>
    <row r="10" spans="1:2" x14ac:dyDescent="0.3">
      <c r="A10" s="94">
        <v>9</v>
      </c>
      <c r="B10" s="93" t="s">
        <v>2</v>
      </c>
    </row>
    <row r="11" spans="1:2" x14ac:dyDescent="0.3">
      <c r="A11" s="94">
        <v>10</v>
      </c>
      <c r="B11" s="93" t="s">
        <v>10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tabSelected="1" workbookViewId="0">
      <selection activeCell="B25" sqref="B25"/>
    </sheetView>
  </sheetViews>
  <sheetFormatPr defaultColWidth="8.88671875" defaultRowHeight="11.3" x14ac:dyDescent="0.2"/>
  <cols>
    <col min="1" max="1" width="38.109375" style="13" customWidth="1"/>
    <col min="2" max="2" width="21.33203125" style="13" customWidth="1"/>
    <col min="3" max="3" width="12.44140625" style="13" customWidth="1"/>
    <col min="4" max="4" width="11.44140625" style="13" customWidth="1"/>
    <col min="5" max="5" width="13.109375" style="13" customWidth="1"/>
    <col min="6" max="6" width="9.5546875" style="13" customWidth="1"/>
    <col min="7" max="7" width="11.44140625" style="13" customWidth="1"/>
    <col min="8" max="8" width="14" style="13" customWidth="1"/>
    <col min="9" max="9" width="12" style="13" customWidth="1"/>
    <col min="10" max="10" width="14.5546875" style="13" customWidth="1"/>
    <col min="11" max="11" width="13" style="13" customWidth="1"/>
    <col min="12" max="12" width="14" style="13" customWidth="1"/>
    <col min="13" max="13" width="12" style="13" customWidth="1"/>
    <col min="14" max="14" width="10" style="13" customWidth="1"/>
    <col min="15" max="15" width="13" style="13" customWidth="1"/>
    <col min="16" max="16" width="14" style="13" customWidth="1"/>
    <col min="17" max="17" width="12" style="13" customWidth="1"/>
    <col min="18" max="18" width="10" style="13" customWidth="1"/>
    <col min="19" max="19" width="13" style="13" customWidth="1"/>
    <col min="20" max="20" width="14" style="13" customWidth="1"/>
    <col min="21" max="21" width="12" style="13" customWidth="1"/>
    <col min="22" max="22" width="10" style="13" customWidth="1"/>
    <col min="23" max="23" width="13" style="13" customWidth="1"/>
    <col min="24" max="24" width="14" style="13" customWidth="1"/>
    <col min="25" max="25" width="12" style="13" customWidth="1"/>
    <col min="26" max="26" width="10" style="13" customWidth="1"/>
    <col min="27" max="27" width="13" style="13" customWidth="1"/>
    <col min="28" max="224" width="8.88671875" style="13"/>
    <col min="225" max="225" width="66.5546875" style="13" bestFit="1" customWidth="1"/>
    <col min="226" max="226" width="11.5546875" style="13" bestFit="1" customWidth="1"/>
    <col min="227" max="227" width="8.88671875" style="13" bestFit="1" customWidth="1"/>
    <col min="228" max="228" width="10" style="13" customWidth="1"/>
    <col min="229" max="229" width="12.109375" style="13" bestFit="1" customWidth="1"/>
    <col min="230" max="230" width="13.88671875" style="13" bestFit="1" customWidth="1"/>
    <col min="231" max="231" width="13.44140625" style="13" customWidth="1"/>
    <col min="232" max="232" width="12.109375" style="13" customWidth="1"/>
    <col min="233" max="233" width="11.88671875" style="13" customWidth="1"/>
    <col min="234" max="234" width="12.44140625" style="13" customWidth="1"/>
    <col min="235" max="235" width="11.44140625" style="13" customWidth="1"/>
    <col min="236" max="236" width="13.109375" style="13" bestFit="1" customWidth="1"/>
    <col min="237" max="237" width="9.5546875" style="13" bestFit="1" customWidth="1"/>
    <col min="238" max="238" width="11.44140625" style="13" customWidth="1"/>
    <col min="239" max="239" width="9.109375" style="13" customWidth="1"/>
    <col min="240" max="241" width="10" style="13" customWidth="1"/>
    <col min="242" max="242" width="10.88671875" style="13" bestFit="1" customWidth="1"/>
    <col min="243" max="480" width="8.88671875" style="13"/>
    <col min="481" max="481" width="66.5546875" style="13" bestFit="1" customWidth="1"/>
    <col min="482" max="482" width="11.5546875" style="13" bestFit="1" customWidth="1"/>
    <col min="483" max="483" width="8.88671875" style="13" bestFit="1" customWidth="1"/>
    <col min="484" max="484" width="10" style="13" customWidth="1"/>
    <col min="485" max="485" width="12.109375" style="13" bestFit="1" customWidth="1"/>
    <col min="486" max="486" width="13.88671875" style="13" bestFit="1" customWidth="1"/>
    <col min="487" max="487" width="13.44140625" style="13" customWidth="1"/>
    <col min="488" max="488" width="12.109375" style="13" customWidth="1"/>
    <col min="489" max="489" width="11.88671875" style="13" customWidth="1"/>
    <col min="490" max="490" width="12.44140625" style="13" customWidth="1"/>
    <col min="491" max="491" width="11.44140625" style="13" customWidth="1"/>
    <col min="492" max="492" width="13.109375" style="13" bestFit="1" customWidth="1"/>
    <col min="493" max="493" width="9.5546875" style="13" bestFit="1" customWidth="1"/>
    <col min="494" max="494" width="11.44140625" style="13" customWidth="1"/>
    <col min="495" max="495" width="9.109375" style="13" customWidth="1"/>
    <col min="496" max="497" width="10" style="13" customWidth="1"/>
    <col min="498" max="498" width="10.88671875" style="13" bestFit="1" customWidth="1"/>
    <col min="499" max="736" width="8.88671875" style="13"/>
    <col min="737" max="737" width="66.5546875" style="13" bestFit="1" customWidth="1"/>
    <col min="738" max="738" width="11.5546875" style="13" bestFit="1" customWidth="1"/>
    <col min="739" max="739" width="8.88671875" style="13" bestFit="1" customWidth="1"/>
    <col min="740" max="740" width="10" style="13" customWidth="1"/>
    <col min="741" max="741" width="12.109375" style="13" bestFit="1" customWidth="1"/>
    <col min="742" max="742" width="13.88671875" style="13" bestFit="1" customWidth="1"/>
    <col min="743" max="743" width="13.44140625" style="13" customWidth="1"/>
    <col min="744" max="744" width="12.109375" style="13" customWidth="1"/>
    <col min="745" max="745" width="11.88671875" style="13" customWidth="1"/>
    <col min="746" max="746" width="12.44140625" style="13" customWidth="1"/>
    <col min="747" max="747" width="11.44140625" style="13" customWidth="1"/>
    <col min="748" max="748" width="13.109375" style="13" bestFit="1" customWidth="1"/>
    <col min="749" max="749" width="9.5546875" style="13" bestFit="1" customWidth="1"/>
    <col min="750" max="750" width="11.44140625" style="13" customWidth="1"/>
    <col min="751" max="751" width="9.109375" style="13" customWidth="1"/>
    <col min="752" max="753" width="10" style="13" customWidth="1"/>
    <col min="754" max="754" width="10.88671875" style="13" bestFit="1" customWidth="1"/>
    <col min="755" max="992" width="8.88671875" style="13"/>
    <col min="993" max="993" width="66.5546875" style="13" bestFit="1" customWidth="1"/>
    <col min="994" max="994" width="11.5546875" style="13" bestFit="1" customWidth="1"/>
    <col min="995" max="995" width="8.88671875" style="13" bestFit="1" customWidth="1"/>
    <col min="996" max="996" width="10" style="13" customWidth="1"/>
    <col min="997" max="997" width="12.109375" style="13" bestFit="1" customWidth="1"/>
    <col min="998" max="998" width="13.88671875" style="13" bestFit="1" customWidth="1"/>
    <col min="999" max="999" width="13.44140625" style="13" customWidth="1"/>
    <col min="1000" max="1000" width="12.109375" style="13" customWidth="1"/>
    <col min="1001" max="1001" width="11.88671875" style="13" customWidth="1"/>
    <col min="1002" max="1002" width="12.44140625" style="13" customWidth="1"/>
    <col min="1003" max="1003" width="11.44140625" style="13" customWidth="1"/>
    <col min="1004" max="1004" width="13.109375" style="13" bestFit="1" customWidth="1"/>
    <col min="1005" max="1005" width="9.5546875" style="13" bestFit="1" customWidth="1"/>
    <col min="1006" max="1006" width="11.44140625" style="13" customWidth="1"/>
    <col min="1007" max="1007" width="9.109375" style="13" customWidth="1"/>
    <col min="1008" max="1009" width="10" style="13" customWidth="1"/>
    <col min="1010" max="1010" width="10.88671875" style="13" bestFit="1" customWidth="1"/>
    <col min="1011" max="1248" width="8.88671875" style="13"/>
    <col min="1249" max="1249" width="66.5546875" style="13" bestFit="1" customWidth="1"/>
    <col min="1250" max="1250" width="11.5546875" style="13" bestFit="1" customWidth="1"/>
    <col min="1251" max="1251" width="8.88671875" style="13" bestFit="1" customWidth="1"/>
    <col min="1252" max="1252" width="10" style="13" customWidth="1"/>
    <col min="1253" max="1253" width="12.109375" style="13" bestFit="1" customWidth="1"/>
    <col min="1254" max="1254" width="13.88671875" style="13" bestFit="1" customWidth="1"/>
    <col min="1255" max="1255" width="13.44140625" style="13" customWidth="1"/>
    <col min="1256" max="1256" width="12.109375" style="13" customWidth="1"/>
    <col min="1257" max="1257" width="11.88671875" style="13" customWidth="1"/>
    <col min="1258" max="1258" width="12.44140625" style="13" customWidth="1"/>
    <col min="1259" max="1259" width="11.44140625" style="13" customWidth="1"/>
    <col min="1260" max="1260" width="13.109375" style="13" bestFit="1" customWidth="1"/>
    <col min="1261" max="1261" width="9.5546875" style="13" bestFit="1" customWidth="1"/>
    <col min="1262" max="1262" width="11.44140625" style="13" customWidth="1"/>
    <col min="1263" max="1263" width="9.109375" style="13" customWidth="1"/>
    <col min="1264" max="1265" width="10" style="13" customWidth="1"/>
    <col min="1266" max="1266" width="10.88671875" style="13" bestFit="1" customWidth="1"/>
    <col min="1267" max="1504" width="8.88671875" style="13"/>
    <col min="1505" max="1505" width="66.5546875" style="13" bestFit="1" customWidth="1"/>
    <col min="1506" max="1506" width="11.5546875" style="13" bestFit="1" customWidth="1"/>
    <col min="1507" max="1507" width="8.88671875" style="13" bestFit="1" customWidth="1"/>
    <col min="1508" max="1508" width="10" style="13" customWidth="1"/>
    <col min="1509" max="1509" width="12.109375" style="13" bestFit="1" customWidth="1"/>
    <col min="1510" max="1510" width="13.88671875" style="13" bestFit="1" customWidth="1"/>
    <col min="1511" max="1511" width="13.44140625" style="13" customWidth="1"/>
    <col min="1512" max="1512" width="12.109375" style="13" customWidth="1"/>
    <col min="1513" max="1513" width="11.88671875" style="13" customWidth="1"/>
    <col min="1514" max="1514" width="12.44140625" style="13" customWidth="1"/>
    <col min="1515" max="1515" width="11.44140625" style="13" customWidth="1"/>
    <col min="1516" max="1516" width="13.109375" style="13" bestFit="1" customWidth="1"/>
    <col min="1517" max="1517" width="9.5546875" style="13" bestFit="1" customWidth="1"/>
    <col min="1518" max="1518" width="11.44140625" style="13" customWidth="1"/>
    <col min="1519" max="1519" width="9.109375" style="13" customWidth="1"/>
    <col min="1520" max="1521" width="10" style="13" customWidth="1"/>
    <col min="1522" max="1522" width="10.88671875" style="13" bestFit="1" customWidth="1"/>
    <col min="1523" max="1760" width="8.88671875" style="13"/>
    <col min="1761" max="1761" width="66.5546875" style="13" bestFit="1" customWidth="1"/>
    <col min="1762" max="1762" width="11.5546875" style="13" bestFit="1" customWidth="1"/>
    <col min="1763" max="1763" width="8.88671875" style="13" bestFit="1" customWidth="1"/>
    <col min="1764" max="1764" width="10" style="13" customWidth="1"/>
    <col min="1765" max="1765" width="12.109375" style="13" bestFit="1" customWidth="1"/>
    <col min="1766" max="1766" width="13.88671875" style="13" bestFit="1" customWidth="1"/>
    <col min="1767" max="1767" width="13.44140625" style="13" customWidth="1"/>
    <col min="1768" max="1768" width="12.109375" style="13" customWidth="1"/>
    <col min="1769" max="1769" width="11.88671875" style="13" customWidth="1"/>
    <col min="1770" max="1770" width="12.44140625" style="13" customWidth="1"/>
    <col min="1771" max="1771" width="11.44140625" style="13" customWidth="1"/>
    <col min="1772" max="1772" width="13.109375" style="13" bestFit="1" customWidth="1"/>
    <col min="1773" max="1773" width="9.5546875" style="13" bestFit="1" customWidth="1"/>
    <col min="1774" max="1774" width="11.44140625" style="13" customWidth="1"/>
    <col min="1775" max="1775" width="9.109375" style="13" customWidth="1"/>
    <col min="1776" max="1777" width="10" style="13" customWidth="1"/>
    <col min="1778" max="1778" width="10.88671875" style="13" bestFit="1" customWidth="1"/>
    <col min="1779" max="2016" width="8.88671875" style="13"/>
    <col min="2017" max="2017" width="66.5546875" style="13" bestFit="1" customWidth="1"/>
    <col min="2018" max="2018" width="11.5546875" style="13" bestFit="1" customWidth="1"/>
    <col min="2019" max="2019" width="8.88671875" style="13" bestFit="1" customWidth="1"/>
    <col min="2020" max="2020" width="10" style="13" customWidth="1"/>
    <col min="2021" max="2021" width="12.109375" style="13" bestFit="1" customWidth="1"/>
    <col min="2022" max="2022" width="13.88671875" style="13" bestFit="1" customWidth="1"/>
    <col min="2023" max="2023" width="13.44140625" style="13" customWidth="1"/>
    <col min="2024" max="2024" width="12.109375" style="13" customWidth="1"/>
    <col min="2025" max="2025" width="11.88671875" style="13" customWidth="1"/>
    <col min="2026" max="2026" width="12.44140625" style="13" customWidth="1"/>
    <col min="2027" max="2027" width="11.44140625" style="13" customWidth="1"/>
    <col min="2028" max="2028" width="13.109375" style="13" bestFit="1" customWidth="1"/>
    <col min="2029" max="2029" width="9.5546875" style="13" bestFit="1" customWidth="1"/>
    <col min="2030" max="2030" width="11.44140625" style="13" customWidth="1"/>
    <col min="2031" max="2031" width="9.109375" style="13" customWidth="1"/>
    <col min="2032" max="2033" width="10" style="13" customWidth="1"/>
    <col min="2034" max="2034" width="10.88671875" style="13" bestFit="1" customWidth="1"/>
    <col min="2035" max="2272" width="8.88671875" style="13"/>
    <col min="2273" max="2273" width="66.5546875" style="13" bestFit="1" customWidth="1"/>
    <col min="2274" max="2274" width="11.5546875" style="13" bestFit="1" customWidth="1"/>
    <col min="2275" max="2275" width="8.88671875" style="13" bestFit="1" customWidth="1"/>
    <col min="2276" max="2276" width="10" style="13" customWidth="1"/>
    <col min="2277" max="2277" width="12.109375" style="13" bestFit="1" customWidth="1"/>
    <col min="2278" max="2278" width="13.88671875" style="13" bestFit="1" customWidth="1"/>
    <col min="2279" max="2279" width="13.44140625" style="13" customWidth="1"/>
    <col min="2280" max="2280" width="12.109375" style="13" customWidth="1"/>
    <col min="2281" max="2281" width="11.88671875" style="13" customWidth="1"/>
    <col min="2282" max="2282" width="12.44140625" style="13" customWidth="1"/>
    <col min="2283" max="2283" width="11.44140625" style="13" customWidth="1"/>
    <col min="2284" max="2284" width="13.109375" style="13" bestFit="1" customWidth="1"/>
    <col min="2285" max="2285" width="9.5546875" style="13" bestFit="1" customWidth="1"/>
    <col min="2286" max="2286" width="11.44140625" style="13" customWidth="1"/>
    <col min="2287" max="2287" width="9.109375" style="13" customWidth="1"/>
    <col min="2288" max="2289" width="10" style="13" customWidth="1"/>
    <col min="2290" max="2290" width="10.88671875" style="13" bestFit="1" customWidth="1"/>
    <col min="2291" max="2528" width="8.88671875" style="13"/>
    <col min="2529" max="2529" width="66.5546875" style="13" bestFit="1" customWidth="1"/>
    <col min="2530" max="2530" width="11.5546875" style="13" bestFit="1" customWidth="1"/>
    <col min="2531" max="2531" width="8.88671875" style="13" bestFit="1" customWidth="1"/>
    <col min="2532" max="2532" width="10" style="13" customWidth="1"/>
    <col min="2533" max="2533" width="12.109375" style="13" bestFit="1" customWidth="1"/>
    <col min="2534" max="2534" width="13.88671875" style="13" bestFit="1" customWidth="1"/>
    <col min="2535" max="2535" width="13.44140625" style="13" customWidth="1"/>
    <col min="2536" max="2536" width="12.109375" style="13" customWidth="1"/>
    <col min="2537" max="2537" width="11.88671875" style="13" customWidth="1"/>
    <col min="2538" max="2538" width="12.44140625" style="13" customWidth="1"/>
    <col min="2539" max="2539" width="11.44140625" style="13" customWidth="1"/>
    <col min="2540" max="2540" width="13.109375" style="13" bestFit="1" customWidth="1"/>
    <col min="2541" max="2541" width="9.5546875" style="13" bestFit="1" customWidth="1"/>
    <col min="2542" max="2542" width="11.44140625" style="13" customWidth="1"/>
    <col min="2543" max="2543" width="9.109375" style="13" customWidth="1"/>
    <col min="2544" max="2545" width="10" style="13" customWidth="1"/>
    <col min="2546" max="2546" width="10.88671875" style="13" bestFit="1" customWidth="1"/>
    <col min="2547" max="2784" width="8.88671875" style="13"/>
    <col min="2785" max="2785" width="66.5546875" style="13" bestFit="1" customWidth="1"/>
    <col min="2786" max="2786" width="11.5546875" style="13" bestFit="1" customWidth="1"/>
    <col min="2787" max="2787" width="8.88671875" style="13" bestFit="1" customWidth="1"/>
    <col min="2788" max="2788" width="10" style="13" customWidth="1"/>
    <col min="2789" max="2789" width="12.109375" style="13" bestFit="1" customWidth="1"/>
    <col min="2790" max="2790" width="13.88671875" style="13" bestFit="1" customWidth="1"/>
    <col min="2791" max="2791" width="13.44140625" style="13" customWidth="1"/>
    <col min="2792" max="2792" width="12.109375" style="13" customWidth="1"/>
    <col min="2793" max="2793" width="11.88671875" style="13" customWidth="1"/>
    <col min="2794" max="2794" width="12.44140625" style="13" customWidth="1"/>
    <col min="2795" max="2795" width="11.44140625" style="13" customWidth="1"/>
    <col min="2796" max="2796" width="13.109375" style="13" bestFit="1" customWidth="1"/>
    <col min="2797" max="2797" width="9.5546875" style="13" bestFit="1" customWidth="1"/>
    <col min="2798" max="2798" width="11.44140625" style="13" customWidth="1"/>
    <col min="2799" max="2799" width="9.109375" style="13" customWidth="1"/>
    <col min="2800" max="2801" width="10" style="13" customWidth="1"/>
    <col min="2802" max="2802" width="10.88671875" style="13" bestFit="1" customWidth="1"/>
    <col min="2803" max="3040" width="8.88671875" style="13"/>
    <col min="3041" max="3041" width="66.5546875" style="13" bestFit="1" customWidth="1"/>
    <col min="3042" max="3042" width="11.5546875" style="13" bestFit="1" customWidth="1"/>
    <col min="3043" max="3043" width="8.88671875" style="13" bestFit="1" customWidth="1"/>
    <col min="3044" max="3044" width="10" style="13" customWidth="1"/>
    <col min="3045" max="3045" width="12.109375" style="13" bestFit="1" customWidth="1"/>
    <col min="3046" max="3046" width="13.88671875" style="13" bestFit="1" customWidth="1"/>
    <col min="3047" max="3047" width="13.44140625" style="13" customWidth="1"/>
    <col min="3048" max="3048" width="12.109375" style="13" customWidth="1"/>
    <col min="3049" max="3049" width="11.88671875" style="13" customWidth="1"/>
    <col min="3050" max="3050" width="12.44140625" style="13" customWidth="1"/>
    <col min="3051" max="3051" width="11.44140625" style="13" customWidth="1"/>
    <col min="3052" max="3052" width="13.109375" style="13" bestFit="1" customWidth="1"/>
    <col min="3053" max="3053" width="9.5546875" style="13" bestFit="1" customWidth="1"/>
    <col min="3054" max="3054" width="11.44140625" style="13" customWidth="1"/>
    <col min="3055" max="3055" width="9.109375" style="13" customWidth="1"/>
    <col min="3056" max="3057" width="10" style="13" customWidth="1"/>
    <col min="3058" max="3058" width="10.88671875" style="13" bestFit="1" customWidth="1"/>
    <col min="3059" max="3296" width="8.88671875" style="13"/>
    <col min="3297" max="3297" width="66.5546875" style="13" bestFit="1" customWidth="1"/>
    <col min="3298" max="3298" width="11.5546875" style="13" bestFit="1" customWidth="1"/>
    <col min="3299" max="3299" width="8.88671875" style="13" bestFit="1" customWidth="1"/>
    <col min="3300" max="3300" width="10" style="13" customWidth="1"/>
    <col min="3301" max="3301" width="12.109375" style="13" bestFit="1" customWidth="1"/>
    <col min="3302" max="3302" width="13.88671875" style="13" bestFit="1" customWidth="1"/>
    <col min="3303" max="3303" width="13.44140625" style="13" customWidth="1"/>
    <col min="3304" max="3304" width="12.109375" style="13" customWidth="1"/>
    <col min="3305" max="3305" width="11.88671875" style="13" customWidth="1"/>
    <col min="3306" max="3306" width="12.44140625" style="13" customWidth="1"/>
    <col min="3307" max="3307" width="11.44140625" style="13" customWidth="1"/>
    <col min="3308" max="3308" width="13.109375" style="13" bestFit="1" customWidth="1"/>
    <col min="3309" max="3309" width="9.5546875" style="13" bestFit="1" customWidth="1"/>
    <col min="3310" max="3310" width="11.44140625" style="13" customWidth="1"/>
    <col min="3311" max="3311" width="9.109375" style="13" customWidth="1"/>
    <col min="3312" max="3313" width="10" style="13" customWidth="1"/>
    <col min="3314" max="3314" width="10.88671875" style="13" bestFit="1" customWidth="1"/>
    <col min="3315" max="3552" width="8.88671875" style="13"/>
    <col min="3553" max="3553" width="66.5546875" style="13" bestFit="1" customWidth="1"/>
    <col min="3554" max="3554" width="11.5546875" style="13" bestFit="1" customWidth="1"/>
    <col min="3555" max="3555" width="8.88671875" style="13" bestFit="1" customWidth="1"/>
    <col min="3556" max="3556" width="10" style="13" customWidth="1"/>
    <col min="3557" max="3557" width="12.109375" style="13" bestFit="1" customWidth="1"/>
    <col min="3558" max="3558" width="13.88671875" style="13" bestFit="1" customWidth="1"/>
    <col min="3559" max="3559" width="13.44140625" style="13" customWidth="1"/>
    <col min="3560" max="3560" width="12.109375" style="13" customWidth="1"/>
    <col min="3561" max="3561" width="11.88671875" style="13" customWidth="1"/>
    <col min="3562" max="3562" width="12.44140625" style="13" customWidth="1"/>
    <col min="3563" max="3563" width="11.44140625" style="13" customWidth="1"/>
    <col min="3564" max="3564" width="13.109375" style="13" bestFit="1" customWidth="1"/>
    <col min="3565" max="3565" width="9.5546875" style="13" bestFit="1" customWidth="1"/>
    <col min="3566" max="3566" width="11.44140625" style="13" customWidth="1"/>
    <col min="3567" max="3567" width="9.109375" style="13" customWidth="1"/>
    <col min="3568" max="3569" width="10" style="13" customWidth="1"/>
    <col min="3570" max="3570" width="10.88671875" style="13" bestFit="1" customWidth="1"/>
    <col min="3571" max="3808" width="8.88671875" style="13"/>
    <col min="3809" max="3809" width="66.5546875" style="13" bestFit="1" customWidth="1"/>
    <col min="3810" max="3810" width="11.5546875" style="13" bestFit="1" customWidth="1"/>
    <col min="3811" max="3811" width="8.88671875" style="13" bestFit="1" customWidth="1"/>
    <col min="3812" max="3812" width="10" style="13" customWidth="1"/>
    <col min="3813" max="3813" width="12.109375" style="13" bestFit="1" customWidth="1"/>
    <col min="3814" max="3814" width="13.88671875" style="13" bestFit="1" customWidth="1"/>
    <col min="3815" max="3815" width="13.44140625" style="13" customWidth="1"/>
    <col min="3816" max="3816" width="12.109375" style="13" customWidth="1"/>
    <col min="3817" max="3817" width="11.88671875" style="13" customWidth="1"/>
    <col min="3818" max="3818" width="12.44140625" style="13" customWidth="1"/>
    <col min="3819" max="3819" width="11.44140625" style="13" customWidth="1"/>
    <col min="3820" max="3820" width="13.109375" style="13" bestFit="1" customWidth="1"/>
    <col min="3821" max="3821" width="9.5546875" style="13" bestFit="1" customWidth="1"/>
    <col min="3822" max="3822" width="11.44140625" style="13" customWidth="1"/>
    <col min="3823" max="3823" width="9.109375" style="13" customWidth="1"/>
    <col min="3824" max="3825" width="10" style="13" customWidth="1"/>
    <col min="3826" max="3826" width="10.88671875" style="13" bestFit="1" customWidth="1"/>
    <col min="3827" max="4064" width="8.88671875" style="13"/>
    <col min="4065" max="4065" width="66.5546875" style="13" bestFit="1" customWidth="1"/>
    <col min="4066" max="4066" width="11.5546875" style="13" bestFit="1" customWidth="1"/>
    <col min="4067" max="4067" width="8.88671875" style="13" bestFit="1" customWidth="1"/>
    <col min="4068" max="4068" width="10" style="13" customWidth="1"/>
    <col min="4069" max="4069" width="12.109375" style="13" bestFit="1" customWidth="1"/>
    <col min="4070" max="4070" width="13.88671875" style="13" bestFit="1" customWidth="1"/>
    <col min="4071" max="4071" width="13.44140625" style="13" customWidth="1"/>
    <col min="4072" max="4072" width="12.109375" style="13" customWidth="1"/>
    <col min="4073" max="4073" width="11.88671875" style="13" customWidth="1"/>
    <col min="4074" max="4074" width="12.44140625" style="13" customWidth="1"/>
    <col min="4075" max="4075" width="11.44140625" style="13" customWidth="1"/>
    <col min="4076" max="4076" width="13.109375" style="13" bestFit="1" customWidth="1"/>
    <col min="4077" max="4077" width="9.5546875" style="13" bestFit="1" customWidth="1"/>
    <col min="4078" max="4078" width="11.44140625" style="13" customWidth="1"/>
    <col min="4079" max="4079" width="9.109375" style="13" customWidth="1"/>
    <col min="4080" max="4081" width="10" style="13" customWidth="1"/>
    <col min="4082" max="4082" width="10.88671875" style="13" bestFit="1" customWidth="1"/>
    <col min="4083" max="4320" width="8.88671875" style="13"/>
    <col min="4321" max="4321" width="66.5546875" style="13" bestFit="1" customWidth="1"/>
    <col min="4322" max="4322" width="11.5546875" style="13" bestFit="1" customWidth="1"/>
    <col min="4323" max="4323" width="8.88671875" style="13" bestFit="1" customWidth="1"/>
    <col min="4324" max="4324" width="10" style="13" customWidth="1"/>
    <col min="4325" max="4325" width="12.109375" style="13" bestFit="1" customWidth="1"/>
    <col min="4326" max="4326" width="13.88671875" style="13" bestFit="1" customWidth="1"/>
    <col min="4327" max="4327" width="13.44140625" style="13" customWidth="1"/>
    <col min="4328" max="4328" width="12.109375" style="13" customWidth="1"/>
    <col min="4329" max="4329" width="11.88671875" style="13" customWidth="1"/>
    <col min="4330" max="4330" width="12.44140625" style="13" customWidth="1"/>
    <col min="4331" max="4331" width="11.44140625" style="13" customWidth="1"/>
    <col min="4332" max="4332" width="13.109375" style="13" bestFit="1" customWidth="1"/>
    <col min="4333" max="4333" width="9.5546875" style="13" bestFit="1" customWidth="1"/>
    <col min="4334" max="4334" width="11.44140625" style="13" customWidth="1"/>
    <col min="4335" max="4335" width="9.109375" style="13" customWidth="1"/>
    <col min="4336" max="4337" width="10" style="13" customWidth="1"/>
    <col min="4338" max="4338" width="10.88671875" style="13" bestFit="1" customWidth="1"/>
    <col min="4339" max="4576" width="8.88671875" style="13"/>
    <col min="4577" max="4577" width="66.5546875" style="13" bestFit="1" customWidth="1"/>
    <col min="4578" max="4578" width="11.5546875" style="13" bestFit="1" customWidth="1"/>
    <col min="4579" max="4579" width="8.88671875" style="13" bestFit="1" customWidth="1"/>
    <col min="4580" max="4580" width="10" style="13" customWidth="1"/>
    <col min="4581" max="4581" width="12.109375" style="13" bestFit="1" customWidth="1"/>
    <col min="4582" max="4582" width="13.88671875" style="13" bestFit="1" customWidth="1"/>
    <col min="4583" max="4583" width="13.44140625" style="13" customWidth="1"/>
    <col min="4584" max="4584" width="12.109375" style="13" customWidth="1"/>
    <col min="4585" max="4585" width="11.88671875" style="13" customWidth="1"/>
    <col min="4586" max="4586" width="12.44140625" style="13" customWidth="1"/>
    <col min="4587" max="4587" width="11.44140625" style="13" customWidth="1"/>
    <col min="4588" max="4588" width="13.109375" style="13" bestFit="1" customWidth="1"/>
    <col min="4589" max="4589" width="9.5546875" style="13" bestFit="1" customWidth="1"/>
    <col min="4590" max="4590" width="11.44140625" style="13" customWidth="1"/>
    <col min="4591" max="4591" width="9.109375" style="13" customWidth="1"/>
    <col min="4592" max="4593" width="10" style="13" customWidth="1"/>
    <col min="4594" max="4594" width="10.88671875" style="13" bestFit="1" customWidth="1"/>
    <col min="4595" max="4832" width="8.88671875" style="13"/>
    <col min="4833" max="4833" width="66.5546875" style="13" bestFit="1" customWidth="1"/>
    <col min="4834" max="4834" width="11.5546875" style="13" bestFit="1" customWidth="1"/>
    <col min="4835" max="4835" width="8.88671875" style="13" bestFit="1" customWidth="1"/>
    <col min="4836" max="4836" width="10" style="13" customWidth="1"/>
    <col min="4837" max="4837" width="12.109375" style="13" bestFit="1" customWidth="1"/>
    <col min="4838" max="4838" width="13.88671875" style="13" bestFit="1" customWidth="1"/>
    <col min="4839" max="4839" width="13.44140625" style="13" customWidth="1"/>
    <col min="4840" max="4840" width="12.109375" style="13" customWidth="1"/>
    <col min="4841" max="4841" width="11.88671875" style="13" customWidth="1"/>
    <col min="4842" max="4842" width="12.44140625" style="13" customWidth="1"/>
    <col min="4843" max="4843" width="11.44140625" style="13" customWidth="1"/>
    <col min="4844" max="4844" width="13.109375" style="13" bestFit="1" customWidth="1"/>
    <col min="4845" max="4845" width="9.5546875" style="13" bestFit="1" customWidth="1"/>
    <col min="4846" max="4846" width="11.44140625" style="13" customWidth="1"/>
    <col min="4847" max="4847" width="9.109375" style="13" customWidth="1"/>
    <col min="4848" max="4849" width="10" style="13" customWidth="1"/>
    <col min="4850" max="4850" width="10.88671875" style="13" bestFit="1" customWidth="1"/>
    <col min="4851" max="5088" width="8.88671875" style="13"/>
    <col min="5089" max="5089" width="66.5546875" style="13" bestFit="1" customWidth="1"/>
    <col min="5090" max="5090" width="11.5546875" style="13" bestFit="1" customWidth="1"/>
    <col min="5091" max="5091" width="8.88671875" style="13" bestFit="1" customWidth="1"/>
    <col min="5092" max="5092" width="10" style="13" customWidth="1"/>
    <col min="5093" max="5093" width="12.109375" style="13" bestFit="1" customWidth="1"/>
    <col min="5094" max="5094" width="13.88671875" style="13" bestFit="1" customWidth="1"/>
    <col min="5095" max="5095" width="13.44140625" style="13" customWidth="1"/>
    <col min="5096" max="5096" width="12.109375" style="13" customWidth="1"/>
    <col min="5097" max="5097" width="11.88671875" style="13" customWidth="1"/>
    <col min="5098" max="5098" width="12.44140625" style="13" customWidth="1"/>
    <col min="5099" max="5099" width="11.44140625" style="13" customWidth="1"/>
    <col min="5100" max="5100" width="13.109375" style="13" bestFit="1" customWidth="1"/>
    <col min="5101" max="5101" width="9.5546875" style="13" bestFit="1" customWidth="1"/>
    <col min="5102" max="5102" width="11.44140625" style="13" customWidth="1"/>
    <col min="5103" max="5103" width="9.109375" style="13" customWidth="1"/>
    <col min="5104" max="5105" width="10" style="13" customWidth="1"/>
    <col min="5106" max="5106" width="10.88671875" style="13" bestFit="1" customWidth="1"/>
    <col min="5107" max="5344" width="8.88671875" style="13"/>
    <col min="5345" max="5345" width="66.5546875" style="13" bestFit="1" customWidth="1"/>
    <col min="5346" max="5346" width="11.5546875" style="13" bestFit="1" customWidth="1"/>
    <col min="5347" max="5347" width="8.88671875" style="13" bestFit="1" customWidth="1"/>
    <col min="5348" max="5348" width="10" style="13" customWidth="1"/>
    <col min="5349" max="5349" width="12.109375" style="13" bestFit="1" customWidth="1"/>
    <col min="5350" max="5350" width="13.88671875" style="13" bestFit="1" customWidth="1"/>
    <col min="5351" max="5351" width="13.44140625" style="13" customWidth="1"/>
    <col min="5352" max="5352" width="12.109375" style="13" customWidth="1"/>
    <col min="5353" max="5353" width="11.88671875" style="13" customWidth="1"/>
    <col min="5354" max="5354" width="12.44140625" style="13" customWidth="1"/>
    <col min="5355" max="5355" width="11.44140625" style="13" customWidth="1"/>
    <col min="5356" max="5356" width="13.109375" style="13" bestFit="1" customWidth="1"/>
    <col min="5357" max="5357" width="9.5546875" style="13" bestFit="1" customWidth="1"/>
    <col min="5358" max="5358" width="11.44140625" style="13" customWidth="1"/>
    <col min="5359" max="5359" width="9.109375" style="13" customWidth="1"/>
    <col min="5360" max="5361" width="10" style="13" customWidth="1"/>
    <col min="5362" max="5362" width="10.88671875" style="13" bestFit="1" customWidth="1"/>
    <col min="5363" max="5600" width="8.88671875" style="13"/>
    <col min="5601" max="5601" width="66.5546875" style="13" bestFit="1" customWidth="1"/>
    <col min="5602" max="5602" width="11.5546875" style="13" bestFit="1" customWidth="1"/>
    <col min="5603" max="5603" width="8.88671875" style="13" bestFit="1" customWidth="1"/>
    <col min="5604" max="5604" width="10" style="13" customWidth="1"/>
    <col min="5605" max="5605" width="12.109375" style="13" bestFit="1" customWidth="1"/>
    <col min="5606" max="5606" width="13.88671875" style="13" bestFit="1" customWidth="1"/>
    <col min="5607" max="5607" width="13.44140625" style="13" customWidth="1"/>
    <col min="5608" max="5608" width="12.109375" style="13" customWidth="1"/>
    <col min="5609" max="5609" width="11.88671875" style="13" customWidth="1"/>
    <col min="5610" max="5610" width="12.44140625" style="13" customWidth="1"/>
    <col min="5611" max="5611" width="11.44140625" style="13" customWidth="1"/>
    <col min="5612" max="5612" width="13.109375" style="13" bestFit="1" customWidth="1"/>
    <col min="5613" max="5613" width="9.5546875" style="13" bestFit="1" customWidth="1"/>
    <col min="5614" max="5614" width="11.44140625" style="13" customWidth="1"/>
    <col min="5615" max="5615" width="9.109375" style="13" customWidth="1"/>
    <col min="5616" max="5617" width="10" style="13" customWidth="1"/>
    <col min="5618" max="5618" width="10.88671875" style="13" bestFit="1" customWidth="1"/>
    <col min="5619" max="5856" width="8.88671875" style="13"/>
    <col min="5857" max="5857" width="66.5546875" style="13" bestFit="1" customWidth="1"/>
    <col min="5858" max="5858" width="11.5546875" style="13" bestFit="1" customWidth="1"/>
    <col min="5859" max="5859" width="8.88671875" style="13" bestFit="1" customWidth="1"/>
    <col min="5860" max="5860" width="10" style="13" customWidth="1"/>
    <col min="5861" max="5861" width="12.109375" style="13" bestFit="1" customWidth="1"/>
    <col min="5862" max="5862" width="13.88671875" style="13" bestFit="1" customWidth="1"/>
    <col min="5863" max="5863" width="13.44140625" style="13" customWidth="1"/>
    <col min="5864" max="5864" width="12.109375" style="13" customWidth="1"/>
    <col min="5865" max="5865" width="11.88671875" style="13" customWidth="1"/>
    <col min="5866" max="5866" width="12.44140625" style="13" customWidth="1"/>
    <col min="5867" max="5867" width="11.44140625" style="13" customWidth="1"/>
    <col min="5868" max="5868" width="13.109375" style="13" bestFit="1" customWidth="1"/>
    <col min="5869" max="5869" width="9.5546875" style="13" bestFit="1" customWidth="1"/>
    <col min="5870" max="5870" width="11.44140625" style="13" customWidth="1"/>
    <col min="5871" max="5871" width="9.109375" style="13" customWidth="1"/>
    <col min="5872" max="5873" width="10" style="13" customWidth="1"/>
    <col min="5874" max="5874" width="10.88671875" style="13" bestFit="1" customWidth="1"/>
    <col min="5875" max="6112" width="8.88671875" style="13"/>
    <col min="6113" max="6113" width="66.5546875" style="13" bestFit="1" customWidth="1"/>
    <col min="6114" max="6114" width="11.5546875" style="13" bestFit="1" customWidth="1"/>
    <col min="6115" max="6115" width="8.88671875" style="13" bestFit="1" customWidth="1"/>
    <col min="6116" max="6116" width="10" style="13" customWidth="1"/>
    <col min="6117" max="6117" width="12.109375" style="13" bestFit="1" customWidth="1"/>
    <col min="6118" max="6118" width="13.88671875" style="13" bestFit="1" customWidth="1"/>
    <col min="6119" max="6119" width="13.44140625" style="13" customWidth="1"/>
    <col min="6120" max="6120" width="12.109375" style="13" customWidth="1"/>
    <col min="6121" max="6121" width="11.88671875" style="13" customWidth="1"/>
    <col min="6122" max="6122" width="12.44140625" style="13" customWidth="1"/>
    <col min="6123" max="6123" width="11.44140625" style="13" customWidth="1"/>
    <col min="6124" max="6124" width="13.109375" style="13" bestFit="1" customWidth="1"/>
    <col min="6125" max="6125" width="9.5546875" style="13" bestFit="1" customWidth="1"/>
    <col min="6126" max="6126" width="11.44140625" style="13" customWidth="1"/>
    <col min="6127" max="6127" width="9.109375" style="13" customWidth="1"/>
    <col min="6128" max="6129" width="10" style="13" customWidth="1"/>
    <col min="6130" max="6130" width="10.88671875" style="13" bestFit="1" customWidth="1"/>
    <col min="6131" max="6368" width="8.88671875" style="13"/>
    <col min="6369" max="6369" width="66.5546875" style="13" bestFit="1" customWidth="1"/>
    <col min="6370" max="6370" width="11.5546875" style="13" bestFit="1" customWidth="1"/>
    <col min="6371" max="6371" width="8.88671875" style="13" bestFit="1" customWidth="1"/>
    <col min="6372" max="6372" width="10" style="13" customWidth="1"/>
    <col min="6373" max="6373" width="12.109375" style="13" bestFit="1" customWidth="1"/>
    <col min="6374" max="6374" width="13.88671875" style="13" bestFit="1" customWidth="1"/>
    <col min="6375" max="6375" width="13.44140625" style="13" customWidth="1"/>
    <col min="6376" max="6376" width="12.109375" style="13" customWidth="1"/>
    <col min="6377" max="6377" width="11.88671875" style="13" customWidth="1"/>
    <col min="6378" max="6378" width="12.44140625" style="13" customWidth="1"/>
    <col min="6379" max="6379" width="11.44140625" style="13" customWidth="1"/>
    <col min="6380" max="6380" width="13.109375" style="13" bestFit="1" customWidth="1"/>
    <col min="6381" max="6381" width="9.5546875" style="13" bestFit="1" customWidth="1"/>
    <col min="6382" max="6382" width="11.44140625" style="13" customWidth="1"/>
    <col min="6383" max="6383" width="9.109375" style="13" customWidth="1"/>
    <col min="6384" max="6385" width="10" style="13" customWidth="1"/>
    <col min="6386" max="6386" width="10.88671875" style="13" bestFit="1" customWidth="1"/>
    <col min="6387" max="6624" width="8.88671875" style="13"/>
    <col min="6625" max="6625" width="66.5546875" style="13" bestFit="1" customWidth="1"/>
    <col min="6626" max="6626" width="11.5546875" style="13" bestFit="1" customWidth="1"/>
    <col min="6627" max="6627" width="8.88671875" style="13" bestFit="1" customWidth="1"/>
    <col min="6628" max="6628" width="10" style="13" customWidth="1"/>
    <col min="6629" max="6629" width="12.109375" style="13" bestFit="1" customWidth="1"/>
    <col min="6630" max="6630" width="13.88671875" style="13" bestFit="1" customWidth="1"/>
    <col min="6631" max="6631" width="13.44140625" style="13" customWidth="1"/>
    <col min="6632" max="6632" width="12.109375" style="13" customWidth="1"/>
    <col min="6633" max="6633" width="11.88671875" style="13" customWidth="1"/>
    <col min="6634" max="6634" width="12.44140625" style="13" customWidth="1"/>
    <col min="6635" max="6635" width="11.44140625" style="13" customWidth="1"/>
    <col min="6636" max="6636" width="13.109375" style="13" bestFit="1" customWidth="1"/>
    <col min="6637" max="6637" width="9.5546875" style="13" bestFit="1" customWidth="1"/>
    <col min="6638" max="6638" width="11.44140625" style="13" customWidth="1"/>
    <col min="6639" max="6639" width="9.109375" style="13" customWidth="1"/>
    <col min="6640" max="6641" width="10" style="13" customWidth="1"/>
    <col min="6642" max="6642" width="10.88671875" style="13" bestFit="1" customWidth="1"/>
    <col min="6643" max="6880" width="8.88671875" style="13"/>
    <col min="6881" max="6881" width="66.5546875" style="13" bestFit="1" customWidth="1"/>
    <col min="6882" max="6882" width="11.5546875" style="13" bestFit="1" customWidth="1"/>
    <col min="6883" max="6883" width="8.88671875" style="13" bestFit="1" customWidth="1"/>
    <col min="6884" max="6884" width="10" style="13" customWidth="1"/>
    <col min="6885" max="6885" width="12.109375" style="13" bestFit="1" customWidth="1"/>
    <col min="6886" max="6886" width="13.88671875" style="13" bestFit="1" customWidth="1"/>
    <col min="6887" max="6887" width="13.44140625" style="13" customWidth="1"/>
    <col min="6888" max="6888" width="12.109375" style="13" customWidth="1"/>
    <col min="6889" max="6889" width="11.88671875" style="13" customWidth="1"/>
    <col min="6890" max="6890" width="12.44140625" style="13" customWidth="1"/>
    <col min="6891" max="6891" width="11.44140625" style="13" customWidth="1"/>
    <col min="6892" max="6892" width="13.109375" style="13" bestFit="1" customWidth="1"/>
    <col min="6893" max="6893" width="9.5546875" style="13" bestFit="1" customWidth="1"/>
    <col min="6894" max="6894" width="11.44140625" style="13" customWidth="1"/>
    <col min="6895" max="6895" width="9.109375" style="13" customWidth="1"/>
    <col min="6896" max="6897" width="10" style="13" customWidth="1"/>
    <col min="6898" max="6898" width="10.88671875" style="13" bestFit="1" customWidth="1"/>
    <col min="6899" max="7136" width="8.88671875" style="13"/>
    <col min="7137" max="7137" width="66.5546875" style="13" bestFit="1" customWidth="1"/>
    <col min="7138" max="7138" width="11.5546875" style="13" bestFit="1" customWidth="1"/>
    <col min="7139" max="7139" width="8.88671875" style="13" bestFit="1" customWidth="1"/>
    <col min="7140" max="7140" width="10" style="13" customWidth="1"/>
    <col min="7141" max="7141" width="12.109375" style="13" bestFit="1" customWidth="1"/>
    <col min="7142" max="7142" width="13.88671875" style="13" bestFit="1" customWidth="1"/>
    <col min="7143" max="7143" width="13.44140625" style="13" customWidth="1"/>
    <col min="7144" max="7144" width="12.109375" style="13" customWidth="1"/>
    <col min="7145" max="7145" width="11.88671875" style="13" customWidth="1"/>
    <col min="7146" max="7146" width="12.44140625" style="13" customWidth="1"/>
    <col min="7147" max="7147" width="11.44140625" style="13" customWidth="1"/>
    <col min="7148" max="7148" width="13.109375" style="13" bestFit="1" customWidth="1"/>
    <col min="7149" max="7149" width="9.5546875" style="13" bestFit="1" customWidth="1"/>
    <col min="7150" max="7150" width="11.44140625" style="13" customWidth="1"/>
    <col min="7151" max="7151" width="9.109375" style="13" customWidth="1"/>
    <col min="7152" max="7153" width="10" style="13" customWidth="1"/>
    <col min="7154" max="7154" width="10.88671875" style="13" bestFit="1" customWidth="1"/>
    <col min="7155" max="7392" width="8.88671875" style="13"/>
    <col min="7393" max="7393" width="66.5546875" style="13" bestFit="1" customWidth="1"/>
    <col min="7394" max="7394" width="11.5546875" style="13" bestFit="1" customWidth="1"/>
    <col min="7395" max="7395" width="8.88671875" style="13" bestFit="1" customWidth="1"/>
    <col min="7396" max="7396" width="10" style="13" customWidth="1"/>
    <col min="7397" max="7397" width="12.109375" style="13" bestFit="1" customWidth="1"/>
    <col min="7398" max="7398" width="13.88671875" style="13" bestFit="1" customWidth="1"/>
    <col min="7399" max="7399" width="13.44140625" style="13" customWidth="1"/>
    <col min="7400" max="7400" width="12.109375" style="13" customWidth="1"/>
    <col min="7401" max="7401" width="11.88671875" style="13" customWidth="1"/>
    <col min="7402" max="7402" width="12.44140625" style="13" customWidth="1"/>
    <col min="7403" max="7403" width="11.44140625" style="13" customWidth="1"/>
    <col min="7404" max="7404" width="13.109375" style="13" bestFit="1" customWidth="1"/>
    <col min="7405" max="7405" width="9.5546875" style="13" bestFit="1" customWidth="1"/>
    <col min="7406" max="7406" width="11.44140625" style="13" customWidth="1"/>
    <col min="7407" max="7407" width="9.109375" style="13" customWidth="1"/>
    <col min="7408" max="7409" width="10" style="13" customWidth="1"/>
    <col min="7410" max="7410" width="10.88671875" style="13" bestFit="1" customWidth="1"/>
    <col min="7411" max="7648" width="8.88671875" style="13"/>
    <col min="7649" max="7649" width="66.5546875" style="13" bestFit="1" customWidth="1"/>
    <col min="7650" max="7650" width="11.5546875" style="13" bestFit="1" customWidth="1"/>
    <col min="7651" max="7651" width="8.88671875" style="13" bestFit="1" customWidth="1"/>
    <col min="7652" max="7652" width="10" style="13" customWidth="1"/>
    <col min="7653" max="7653" width="12.109375" style="13" bestFit="1" customWidth="1"/>
    <col min="7654" max="7654" width="13.88671875" style="13" bestFit="1" customWidth="1"/>
    <col min="7655" max="7655" width="13.44140625" style="13" customWidth="1"/>
    <col min="7656" max="7656" width="12.109375" style="13" customWidth="1"/>
    <col min="7657" max="7657" width="11.88671875" style="13" customWidth="1"/>
    <col min="7658" max="7658" width="12.44140625" style="13" customWidth="1"/>
    <col min="7659" max="7659" width="11.44140625" style="13" customWidth="1"/>
    <col min="7660" max="7660" width="13.109375" style="13" bestFit="1" customWidth="1"/>
    <col min="7661" max="7661" width="9.5546875" style="13" bestFit="1" customWidth="1"/>
    <col min="7662" max="7662" width="11.44140625" style="13" customWidth="1"/>
    <col min="7663" max="7663" width="9.109375" style="13" customWidth="1"/>
    <col min="7664" max="7665" width="10" style="13" customWidth="1"/>
    <col min="7666" max="7666" width="10.88671875" style="13" bestFit="1" customWidth="1"/>
    <col min="7667" max="7904" width="8.88671875" style="13"/>
    <col min="7905" max="7905" width="66.5546875" style="13" bestFit="1" customWidth="1"/>
    <col min="7906" max="7906" width="11.5546875" style="13" bestFit="1" customWidth="1"/>
    <col min="7907" max="7907" width="8.88671875" style="13" bestFit="1" customWidth="1"/>
    <col min="7908" max="7908" width="10" style="13" customWidth="1"/>
    <col min="7909" max="7909" width="12.109375" style="13" bestFit="1" customWidth="1"/>
    <col min="7910" max="7910" width="13.88671875" style="13" bestFit="1" customWidth="1"/>
    <col min="7911" max="7911" width="13.44140625" style="13" customWidth="1"/>
    <col min="7912" max="7912" width="12.109375" style="13" customWidth="1"/>
    <col min="7913" max="7913" width="11.88671875" style="13" customWidth="1"/>
    <col min="7914" max="7914" width="12.44140625" style="13" customWidth="1"/>
    <col min="7915" max="7915" width="11.44140625" style="13" customWidth="1"/>
    <col min="7916" max="7916" width="13.109375" style="13" bestFit="1" customWidth="1"/>
    <col min="7917" max="7917" width="9.5546875" style="13" bestFit="1" customWidth="1"/>
    <col min="7918" max="7918" width="11.44140625" style="13" customWidth="1"/>
    <col min="7919" max="7919" width="9.109375" style="13" customWidth="1"/>
    <col min="7920" max="7921" width="10" style="13" customWidth="1"/>
    <col min="7922" max="7922" width="10.88671875" style="13" bestFit="1" customWidth="1"/>
    <col min="7923" max="8160" width="8.88671875" style="13"/>
    <col min="8161" max="8161" width="66.5546875" style="13" bestFit="1" customWidth="1"/>
    <col min="8162" max="8162" width="11.5546875" style="13" bestFit="1" customWidth="1"/>
    <col min="8163" max="8163" width="8.88671875" style="13" bestFit="1" customWidth="1"/>
    <col min="8164" max="8164" width="10" style="13" customWidth="1"/>
    <col min="8165" max="8165" width="12.109375" style="13" bestFit="1" customWidth="1"/>
    <col min="8166" max="8166" width="13.88671875" style="13" bestFit="1" customWidth="1"/>
    <col min="8167" max="8167" width="13.44140625" style="13" customWidth="1"/>
    <col min="8168" max="8168" width="12.109375" style="13" customWidth="1"/>
    <col min="8169" max="8169" width="11.88671875" style="13" customWidth="1"/>
    <col min="8170" max="8170" width="12.44140625" style="13" customWidth="1"/>
    <col min="8171" max="8171" width="11.44140625" style="13" customWidth="1"/>
    <col min="8172" max="8172" width="13.109375" style="13" bestFit="1" customWidth="1"/>
    <col min="8173" max="8173" width="9.5546875" style="13" bestFit="1" customWidth="1"/>
    <col min="8174" max="8174" width="11.44140625" style="13" customWidth="1"/>
    <col min="8175" max="8175" width="9.109375" style="13" customWidth="1"/>
    <col min="8176" max="8177" width="10" style="13" customWidth="1"/>
    <col min="8178" max="8178" width="10.88671875" style="13" bestFit="1" customWidth="1"/>
    <col min="8179" max="8416" width="8.88671875" style="13"/>
    <col min="8417" max="8417" width="66.5546875" style="13" bestFit="1" customWidth="1"/>
    <col min="8418" max="8418" width="11.5546875" style="13" bestFit="1" customWidth="1"/>
    <col min="8419" max="8419" width="8.88671875" style="13" bestFit="1" customWidth="1"/>
    <col min="8420" max="8420" width="10" style="13" customWidth="1"/>
    <col min="8421" max="8421" width="12.109375" style="13" bestFit="1" customWidth="1"/>
    <col min="8422" max="8422" width="13.88671875" style="13" bestFit="1" customWidth="1"/>
    <col min="8423" max="8423" width="13.44140625" style="13" customWidth="1"/>
    <col min="8424" max="8424" width="12.109375" style="13" customWidth="1"/>
    <col min="8425" max="8425" width="11.88671875" style="13" customWidth="1"/>
    <col min="8426" max="8426" width="12.44140625" style="13" customWidth="1"/>
    <col min="8427" max="8427" width="11.44140625" style="13" customWidth="1"/>
    <col min="8428" max="8428" width="13.109375" style="13" bestFit="1" customWidth="1"/>
    <col min="8429" max="8429" width="9.5546875" style="13" bestFit="1" customWidth="1"/>
    <col min="8430" max="8430" width="11.44140625" style="13" customWidth="1"/>
    <col min="8431" max="8431" width="9.109375" style="13" customWidth="1"/>
    <col min="8432" max="8433" width="10" style="13" customWidth="1"/>
    <col min="8434" max="8434" width="10.88671875" style="13" bestFit="1" customWidth="1"/>
    <col min="8435" max="8672" width="8.88671875" style="13"/>
    <col min="8673" max="8673" width="66.5546875" style="13" bestFit="1" customWidth="1"/>
    <col min="8674" max="8674" width="11.5546875" style="13" bestFit="1" customWidth="1"/>
    <col min="8675" max="8675" width="8.88671875" style="13" bestFit="1" customWidth="1"/>
    <col min="8676" max="8676" width="10" style="13" customWidth="1"/>
    <col min="8677" max="8677" width="12.109375" style="13" bestFit="1" customWidth="1"/>
    <col min="8678" max="8678" width="13.88671875" style="13" bestFit="1" customWidth="1"/>
    <col min="8679" max="8679" width="13.44140625" style="13" customWidth="1"/>
    <col min="8680" max="8680" width="12.109375" style="13" customWidth="1"/>
    <col min="8681" max="8681" width="11.88671875" style="13" customWidth="1"/>
    <col min="8682" max="8682" width="12.44140625" style="13" customWidth="1"/>
    <col min="8683" max="8683" width="11.44140625" style="13" customWidth="1"/>
    <col min="8684" max="8684" width="13.109375" style="13" bestFit="1" customWidth="1"/>
    <col min="8685" max="8685" width="9.5546875" style="13" bestFit="1" customWidth="1"/>
    <col min="8686" max="8686" width="11.44140625" style="13" customWidth="1"/>
    <col min="8687" max="8687" width="9.109375" style="13" customWidth="1"/>
    <col min="8688" max="8689" width="10" style="13" customWidth="1"/>
    <col min="8690" max="8690" width="10.88671875" style="13" bestFit="1" customWidth="1"/>
    <col min="8691" max="8928" width="8.88671875" style="13"/>
    <col min="8929" max="8929" width="66.5546875" style="13" bestFit="1" customWidth="1"/>
    <col min="8930" max="8930" width="11.5546875" style="13" bestFit="1" customWidth="1"/>
    <col min="8931" max="8931" width="8.88671875" style="13" bestFit="1" customWidth="1"/>
    <col min="8932" max="8932" width="10" style="13" customWidth="1"/>
    <col min="8933" max="8933" width="12.109375" style="13" bestFit="1" customWidth="1"/>
    <col min="8934" max="8934" width="13.88671875" style="13" bestFit="1" customWidth="1"/>
    <col min="8935" max="8935" width="13.44140625" style="13" customWidth="1"/>
    <col min="8936" max="8936" width="12.109375" style="13" customWidth="1"/>
    <col min="8937" max="8937" width="11.88671875" style="13" customWidth="1"/>
    <col min="8938" max="8938" width="12.44140625" style="13" customWidth="1"/>
    <col min="8939" max="8939" width="11.44140625" style="13" customWidth="1"/>
    <col min="8940" max="8940" width="13.109375" style="13" bestFit="1" customWidth="1"/>
    <col min="8941" max="8941" width="9.5546875" style="13" bestFit="1" customWidth="1"/>
    <col min="8942" max="8942" width="11.44140625" style="13" customWidth="1"/>
    <col min="8943" max="8943" width="9.109375" style="13" customWidth="1"/>
    <col min="8944" max="8945" width="10" style="13" customWidth="1"/>
    <col min="8946" max="8946" width="10.88671875" style="13" bestFit="1" customWidth="1"/>
    <col min="8947" max="9184" width="8.88671875" style="13"/>
    <col min="9185" max="9185" width="66.5546875" style="13" bestFit="1" customWidth="1"/>
    <col min="9186" max="9186" width="11.5546875" style="13" bestFit="1" customWidth="1"/>
    <col min="9187" max="9187" width="8.88671875" style="13" bestFit="1" customWidth="1"/>
    <col min="9188" max="9188" width="10" style="13" customWidth="1"/>
    <col min="9189" max="9189" width="12.109375" style="13" bestFit="1" customWidth="1"/>
    <col min="9190" max="9190" width="13.88671875" style="13" bestFit="1" customWidth="1"/>
    <col min="9191" max="9191" width="13.44140625" style="13" customWidth="1"/>
    <col min="9192" max="9192" width="12.109375" style="13" customWidth="1"/>
    <col min="9193" max="9193" width="11.88671875" style="13" customWidth="1"/>
    <col min="9194" max="9194" width="12.44140625" style="13" customWidth="1"/>
    <col min="9195" max="9195" width="11.44140625" style="13" customWidth="1"/>
    <col min="9196" max="9196" width="13.109375" style="13" bestFit="1" customWidth="1"/>
    <col min="9197" max="9197" width="9.5546875" style="13" bestFit="1" customWidth="1"/>
    <col min="9198" max="9198" width="11.44140625" style="13" customWidth="1"/>
    <col min="9199" max="9199" width="9.109375" style="13" customWidth="1"/>
    <col min="9200" max="9201" width="10" style="13" customWidth="1"/>
    <col min="9202" max="9202" width="10.88671875" style="13" bestFit="1" customWidth="1"/>
    <col min="9203" max="9440" width="8.88671875" style="13"/>
    <col min="9441" max="9441" width="66.5546875" style="13" bestFit="1" customWidth="1"/>
    <col min="9442" max="9442" width="11.5546875" style="13" bestFit="1" customWidth="1"/>
    <col min="9443" max="9443" width="8.88671875" style="13" bestFit="1" customWidth="1"/>
    <col min="9444" max="9444" width="10" style="13" customWidth="1"/>
    <col min="9445" max="9445" width="12.109375" style="13" bestFit="1" customWidth="1"/>
    <col min="9446" max="9446" width="13.88671875" style="13" bestFit="1" customWidth="1"/>
    <col min="9447" max="9447" width="13.44140625" style="13" customWidth="1"/>
    <col min="9448" max="9448" width="12.109375" style="13" customWidth="1"/>
    <col min="9449" max="9449" width="11.88671875" style="13" customWidth="1"/>
    <col min="9450" max="9450" width="12.44140625" style="13" customWidth="1"/>
    <col min="9451" max="9451" width="11.44140625" style="13" customWidth="1"/>
    <col min="9452" max="9452" width="13.109375" style="13" bestFit="1" customWidth="1"/>
    <col min="9453" max="9453" width="9.5546875" style="13" bestFit="1" customWidth="1"/>
    <col min="9454" max="9454" width="11.44140625" style="13" customWidth="1"/>
    <col min="9455" max="9455" width="9.109375" style="13" customWidth="1"/>
    <col min="9456" max="9457" width="10" style="13" customWidth="1"/>
    <col min="9458" max="9458" width="10.88671875" style="13" bestFit="1" customWidth="1"/>
    <col min="9459" max="9696" width="8.88671875" style="13"/>
    <col min="9697" max="9697" width="66.5546875" style="13" bestFit="1" customWidth="1"/>
    <col min="9698" max="9698" width="11.5546875" style="13" bestFit="1" customWidth="1"/>
    <col min="9699" max="9699" width="8.88671875" style="13" bestFit="1" customWidth="1"/>
    <col min="9700" max="9700" width="10" style="13" customWidth="1"/>
    <col min="9701" max="9701" width="12.109375" style="13" bestFit="1" customWidth="1"/>
    <col min="9702" max="9702" width="13.88671875" style="13" bestFit="1" customWidth="1"/>
    <col min="9703" max="9703" width="13.44140625" style="13" customWidth="1"/>
    <col min="9704" max="9704" width="12.109375" style="13" customWidth="1"/>
    <col min="9705" max="9705" width="11.88671875" style="13" customWidth="1"/>
    <col min="9706" max="9706" width="12.44140625" style="13" customWidth="1"/>
    <col min="9707" max="9707" width="11.44140625" style="13" customWidth="1"/>
    <col min="9708" max="9708" width="13.109375" style="13" bestFit="1" customWidth="1"/>
    <col min="9709" max="9709" width="9.5546875" style="13" bestFit="1" customWidth="1"/>
    <col min="9710" max="9710" width="11.44140625" style="13" customWidth="1"/>
    <col min="9711" max="9711" width="9.109375" style="13" customWidth="1"/>
    <col min="9712" max="9713" width="10" style="13" customWidth="1"/>
    <col min="9714" max="9714" width="10.88671875" style="13" bestFit="1" customWidth="1"/>
    <col min="9715" max="9952" width="8.88671875" style="13"/>
    <col min="9953" max="9953" width="66.5546875" style="13" bestFit="1" customWidth="1"/>
    <col min="9954" max="9954" width="11.5546875" style="13" bestFit="1" customWidth="1"/>
    <col min="9955" max="9955" width="8.88671875" style="13" bestFit="1" customWidth="1"/>
    <col min="9956" max="9956" width="10" style="13" customWidth="1"/>
    <col min="9957" max="9957" width="12.109375" style="13" bestFit="1" customWidth="1"/>
    <col min="9958" max="9958" width="13.88671875" style="13" bestFit="1" customWidth="1"/>
    <col min="9959" max="9959" width="13.44140625" style="13" customWidth="1"/>
    <col min="9960" max="9960" width="12.109375" style="13" customWidth="1"/>
    <col min="9961" max="9961" width="11.88671875" style="13" customWidth="1"/>
    <col min="9962" max="9962" width="12.44140625" style="13" customWidth="1"/>
    <col min="9963" max="9963" width="11.44140625" style="13" customWidth="1"/>
    <col min="9964" max="9964" width="13.109375" style="13" bestFit="1" customWidth="1"/>
    <col min="9965" max="9965" width="9.5546875" style="13" bestFit="1" customWidth="1"/>
    <col min="9966" max="9966" width="11.44140625" style="13" customWidth="1"/>
    <col min="9967" max="9967" width="9.109375" style="13" customWidth="1"/>
    <col min="9968" max="9969" width="10" style="13" customWidth="1"/>
    <col min="9970" max="9970" width="10.88671875" style="13" bestFit="1" customWidth="1"/>
    <col min="9971" max="10208" width="8.88671875" style="13"/>
    <col min="10209" max="10209" width="66.5546875" style="13" bestFit="1" customWidth="1"/>
    <col min="10210" max="10210" width="11.5546875" style="13" bestFit="1" customWidth="1"/>
    <col min="10211" max="10211" width="8.88671875" style="13" bestFit="1" customWidth="1"/>
    <col min="10212" max="10212" width="10" style="13" customWidth="1"/>
    <col min="10213" max="10213" width="12.109375" style="13" bestFit="1" customWidth="1"/>
    <col min="10214" max="10214" width="13.88671875" style="13" bestFit="1" customWidth="1"/>
    <col min="10215" max="10215" width="13.44140625" style="13" customWidth="1"/>
    <col min="10216" max="10216" width="12.109375" style="13" customWidth="1"/>
    <col min="10217" max="10217" width="11.88671875" style="13" customWidth="1"/>
    <col min="10218" max="10218" width="12.44140625" style="13" customWidth="1"/>
    <col min="10219" max="10219" width="11.44140625" style="13" customWidth="1"/>
    <col min="10220" max="10220" width="13.109375" style="13" bestFit="1" customWidth="1"/>
    <col min="10221" max="10221" width="9.5546875" style="13" bestFit="1" customWidth="1"/>
    <col min="10222" max="10222" width="11.44140625" style="13" customWidth="1"/>
    <col min="10223" max="10223" width="9.109375" style="13" customWidth="1"/>
    <col min="10224" max="10225" width="10" style="13" customWidth="1"/>
    <col min="10226" max="10226" width="10.88671875" style="13" bestFit="1" customWidth="1"/>
    <col min="10227" max="10464" width="8.88671875" style="13"/>
    <col min="10465" max="10465" width="66.5546875" style="13" bestFit="1" customWidth="1"/>
    <col min="10466" max="10466" width="11.5546875" style="13" bestFit="1" customWidth="1"/>
    <col min="10467" max="10467" width="8.88671875" style="13" bestFit="1" customWidth="1"/>
    <col min="10468" max="10468" width="10" style="13" customWidth="1"/>
    <col min="10469" max="10469" width="12.109375" style="13" bestFit="1" customWidth="1"/>
    <col min="10470" max="10470" width="13.88671875" style="13" bestFit="1" customWidth="1"/>
    <col min="10471" max="10471" width="13.44140625" style="13" customWidth="1"/>
    <col min="10472" max="10472" width="12.109375" style="13" customWidth="1"/>
    <col min="10473" max="10473" width="11.88671875" style="13" customWidth="1"/>
    <col min="10474" max="10474" width="12.44140625" style="13" customWidth="1"/>
    <col min="10475" max="10475" width="11.44140625" style="13" customWidth="1"/>
    <col min="10476" max="10476" width="13.109375" style="13" bestFit="1" customWidth="1"/>
    <col min="10477" max="10477" width="9.5546875" style="13" bestFit="1" customWidth="1"/>
    <col min="10478" max="10478" width="11.44140625" style="13" customWidth="1"/>
    <col min="10479" max="10479" width="9.109375" style="13" customWidth="1"/>
    <col min="10480" max="10481" width="10" style="13" customWidth="1"/>
    <col min="10482" max="10482" width="10.88671875" style="13" bestFit="1" customWidth="1"/>
    <col min="10483" max="10720" width="8.88671875" style="13"/>
    <col min="10721" max="10721" width="66.5546875" style="13" bestFit="1" customWidth="1"/>
    <col min="10722" max="10722" width="11.5546875" style="13" bestFit="1" customWidth="1"/>
    <col min="10723" max="10723" width="8.88671875" style="13" bestFit="1" customWidth="1"/>
    <col min="10724" max="10724" width="10" style="13" customWidth="1"/>
    <col min="10725" max="10725" width="12.109375" style="13" bestFit="1" customWidth="1"/>
    <col min="10726" max="10726" width="13.88671875" style="13" bestFit="1" customWidth="1"/>
    <col min="10727" max="10727" width="13.44140625" style="13" customWidth="1"/>
    <col min="10728" max="10728" width="12.109375" style="13" customWidth="1"/>
    <col min="10729" max="10729" width="11.88671875" style="13" customWidth="1"/>
    <col min="10730" max="10730" width="12.44140625" style="13" customWidth="1"/>
    <col min="10731" max="10731" width="11.44140625" style="13" customWidth="1"/>
    <col min="10732" max="10732" width="13.109375" style="13" bestFit="1" customWidth="1"/>
    <col min="10733" max="10733" width="9.5546875" style="13" bestFit="1" customWidth="1"/>
    <col min="10734" max="10734" width="11.44140625" style="13" customWidth="1"/>
    <col min="10735" max="10735" width="9.109375" style="13" customWidth="1"/>
    <col min="10736" max="10737" width="10" style="13" customWidth="1"/>
    <col min="10738" max="10738" width="10.88671875" style="13" bestFit="1" customWidth="1"/>
    <col min="10739" max="10976" width="8.88671875" style="13"/>
    <col min="10977" max="10977" width="66.5546875" style="13" bestFit="1" customWidth="1"/>
    <col min="10978" max="10978" width="11.5546875" style="13" bestFit="1" customWidth="1"/>
    <col min="10979" max="10979" width="8.88671875" style="13" bestFit="1" customWidth="1"/>
    <col min="10980" max="10980" width="10" style="13" customWidth="1"/>
    <col min="10981" max="10981" width="12.109375" style="13" bestFit="1" customWidth="1"/>
    <col min="10982" max="10982" width="13.88671875" style="13" bestFit="1" customWidth="1"/>
    <col min="10983" max="10983" width="13.44140625" style="13" customWidth="1"/>
    <col min="10984" max="10984" width="12.109375" style="13" customWidth="1"/>
    <col min="10985" max="10985" width="11.88671875" style="13" customWidth="1"/>
    <col min="10986" max="10986" width="12.44140625" style="13" customWidth="1"/>
    <col min="10987" max="10987" width="11.44140625" style="13" customWidth="1"/>
    <col min="10988" max="10988" width="13.109375" style="13" bestFit="1" customWidth="1"/>
    <col min="10989" max="10989" width="9.5546875" style="13" bestFit="1" customWidth="1"/>
    <col min="10990" max="10990" width="11.44140625" style="13" customWidth="1"/>
    <col min="10991" max="10991" width="9.109375" style="13" customWidth="1"/>
    <col min="10992" max="10993" width="10" style="13" customWidth="1"/>
    <col min="10994" max="10994" width="10.88671875" style="13" bestFit="1" customWidth="1"/>
    <col min="10995" max="11232" width="8.88671875" style="13"/>
    <col min="11233" max="11233" width="66.5546875" style="13" bestFit="1" customWidth="1"/>
    <col min="11234" max="11234" width="11.5546875" style="13" bestFit="1" customWidth="1"/>
    <col min="11235" max="11235" width="8.88671875" style="13" bestFit="1" customWidth="1"/>
    <col min="11236" max="11236" width="10" style="13" customWidth="1"/>
    <col min="11237" max="11237" width="12.109375" style="13" bestFit="1" customWidth="1"/>
    <col min="11238" max="11238" width="13.88671875" style="13" bestFit="1" customWidth="1"/>
    <col min="11239" max="11239" width="13.44140625" style="13" customWidth="1"/>
    <col min="11240" max="11240" width="12.109375" style="13" customWidth="1"/>
    <col min="11241" max="11241" width="11.88671875" style="13" customWidth="1"/>
    <col min="11242" max="11242" width="12.44140625" style="13" customWidth="1"/>
    <col min="11243" max="11243" width="11.44140625" style="13" customWidth="1"/>
    <col min="11244" max="11244" width="13.109375" style="13" bestFit="1" customWidth="1"/>
    <col min="11245" max="11245" width="9.5546875" style="13" bestFit="1" customWidth="1"/>
    <col min="11246" max="11246" width="11.44140625" style="13" customWidth="1"/>
    <col min="11247" max="11247" width="9.109375" style="13" customWidth="1"/>
    <col min="11248" max="11249" width="10" style="13" customWidth="1"/>
    <col min="11250" max="11250" width="10.88671875" style="13" bestFit="1" customWidth="1"/>
    <col min="11251" max="11488" width="8.88671875" style="13"/>
    <col min="11489" max="11489" width="66.5546875" style="13" bestFit="1" customWidth="1"/>
    <col min="11490" max="11490" width="11.5546875" style="13" bestFit="1" customWidth="1"/>
    <col min="11491" max="11491" width="8.88671875" style="13" bestFit="1" customWidth="1"/>
    <col min="11492" max="11492" width="10" style="13" customWidth="1"/>
    <col min="11493" max="11493" width="12.109375" style="13" bestFit="1" customWidth="1"/>
    <col min="11494" max="11494" width="13.88671875" style="13" bestFit="1" customWidth="1"/>
    <col min="11495" max="11495" width="13.44140625" style="13" customWidth="1"/>
    <col min="11496" max="11496" width="12.109375" style="13" customWidth="1"/>
    <col min="11497" max="11497" width="11.88671875" style="13" customWidth="1"/>
    <col min="11498" max="11498" width="12.44140625" style="13" customWidth="1"/>
    <col min="11499" max="11499" width="11.44140625" style="13" customWidth="1"/>
    <col min="11500" max="11500" width="13.109375" style="13" bestFit="1" customWidth="1"/>
    <col min="11501" max="11501" width="9.5546875" style="13" bestFit="1" customWidth="1"/>
    <col min="11502" max="11502" width="11.44140625" style="13" customWidth="1"/>
    <col min="11503" max="11503" width="9.109375" style="13" customWidth="1"/>
    <col min="11504" max="11505" width="10" style="13" customWidth="1"/>
    <col min="11506" max="11506" width="10.88671875" style="13" bestFit="1" customWidth="1"/>
    <col min="11507" max="11744" width="8.88671875" style="13"/>
    <col min="11745" max="11745" width="66.5546875" style="13" bestFit="1" customWidth="1"/>
    <col min="11746" max="11746" width="11.5546875" style="13" bestFit="1" customWidth="1"/>
    <col min="11747" max="11747" width="8.88671875" style="13" bestFit="1" customWidth="1"/>
    <col min="11748" max="11748" width="10" style="13" customWidth="1"/>
    <col min="11749" max="11749" width="12.109375" style="13" bestFit="1" customWidth="1"/>
    <col min="11750" max="11750" width="13.88671875" style="13" bestFit="1" customWidth="1"/>
    <col min="11751" max="11751" width="13.44140625" style="13" customWidth="1"/>
    <col min="11752" max="11752" width="12.109375" style="13" customWidth="1"/>
    <col min="11753" max="11753" width="11.88671875" style="13" customWidth="1"/>
    <col min="11754" max="11754" width="12.44140625" style="13" customWidth="1"/>
    <col min="11755" max="11755" width="11.44140625" style="13" customWidth="1"/>
    <col min="11756" max="11756" width="13.109375" style="13" bestFit="1" customWidth="1"/>
    <col min="11757" max="11757" width="9.5546875" style="13" bestFit="1" customWidth="1"/>
    <col min="11758" max="11758" width="11.44140625" style="13" customWidth="1"/>
    <col min="11759" max="11759" width="9.109375" style="13" customWidth="1"/>
    <col min="11760" max="11761" width="10" style="13" customWidth="1"/>
    <col min="11762" max="11762" width="10.88671875" style="13" bestFit="1" customWidth="1"/>
    <col min="11763" max="12000" width="8.88671875" style="13"/>
    <col min="12001" max="12001" width="66.5546875" style="13" bestFit="1" customWidth="1"/>
    <col min="12002" max="12002" width="11.5546875" style="13" bestFit="1" customWidth="1"/>
    <col min="12003" max="12003" width="8.88671875" style="13" bestFit="1" customWidth="1"/>
    <col min="12004" max="12004" width="10" style="13" customWidth="1"/>
    <col min="12005" max="12005" width="12.109375" style="13" bestFit="1" customWidth="1"/>
    <col min="12006" max="12006" width="13.88671875" style="13" bestFit="1" customWidth="1"/>
    <col min="12007" max="12007" width="13.44140625" style="13" customWidth="1"/>
    <col min="12008" max="12008" width="12.109375" style="13" customWidth="1"/>
    <col min="12009" max="12009" width="11.88671875" style="13" customWidth="1"/>
    <col min="12010" max="12010" width="12.44140625" style="13" customWidth="1"/>
    <col min="12011" max="12011" width="11.44140625" style="13" customWidth="1"/>
    <col min="12012" max="12012" width="13.109375" style="13" bestFit="1" customWidth="1"/>
    <col min="12013" max="12013" width="9.5546875" style="13" bestFit="1" customWidth="1"/>
    <col min="12014" max="12014" width="11.44140625" style="13" customWidth="1"/>
    <col min="12015" max="12015" width="9.109375" style="13" customWidth="1"/>
    <col min="12016" max="12017" width="10" style="13" customWidth="1"/>
    <col min="12018" max="12018" width="10.88671875" style="13" bestFit="1" customWidth="1"/>
    <col min="12019" max="12256" width="8.88671875" style="13"/>
    <col min="12257" max="12257" width="66.5546875" style="13" bestFit="1" customWidth="1"/>
    <col min="12258" max="12258" width="11.5546875" style="13" bestFit="1" customWidth="1"/>
    <col min="12259" max="12259" width="8.88671875" style="13" bestFit="1" customWidth="1"/>
    <col min="12260" max="12260" width="10" style="13" customWidth="1"/>
    <col min="12261" max="12261" width="12.109375" style="13" bestFit="1" customWidth="1"/>
    <col min="12262" max="12262" width="13.88671875" style="13" bestFit="1" customWidth="1"/>
    <col min="12263" max="12263" width="13.44140625" style="13" customWidth="1"/>
    <col min="12264" max="12264" width="12.109375" style="13" customWidth="1"/>
    <col min="12265" max="12265" width="11.88671875" style="13" customWidth="1"/>
    <col min="12266" max="12266" width="12.44140625" style="13" customWidth="1"/>
    <col min="12267" max="12267" width="11.44140625" style="13" customWidth="1"/>
    <col min="12268" max="12268" width="13.109375" style="13" bestFit="1" customWidth="1"/>
    <col min="12269" max="12269" width="9.5546875" style="13" bestFit="1" customWidth="1"/>
    <col min="12270" max="12270" width="11.44140625" style="13" customWidth="1"/>
    <col min="12271" max="12271" width="9.109375" style="13" customWidth="1"/>
    <col min="12272" max="12273" width="10" style="13" customWidth="1"/>
    <col min="12274" max="12274" width="10.88671875" style="13" bestFit="1" customWidth="1"/>
    <col min="12275" max="12512" width="8.88671875" style="13"/>
    <col min="12513" max="12513" width="66.5546875" style="13" bestFit="1" customWidth="1"/>
    <col min="12514" max="12514" width="11.5546875" style="13" bestFit="1" customWidth="1"/>
    <col min="12515" max="12515" width="8.88671875" style="13" bestFit="1" customWidth="1"/>
    <col min="12516" max="12516" width="10" style="13" customWidth="1"/>
    <col min="12517" max="12517" width="12.109375" style="13" bestFit="1" customWidth="1"/>
    <col min="12518" max="12518" width="13.88671875" style="13" bestFit="1" customWidth="1"/>
    <col min="12519" max="12519" width="13.44140625" style="13" customWidth="1"/>
    <col min="12520" max="12520" width="12.109375" style="13" customWidth="1"/>
    <col min="12521" max="12521" width="11.88671875" style="13" customWidth="1"/>
    <col min="12522" max="12522" width="12.44140625" style="13" customWidth="1"/>
    <col min="12523" max="12523" width="11.44140625" style="13" customWidth="1"/>
    <col min="12524" max="12524" width="13.109375" style="13" bestFit="1" customWidth="1"/>
    <col min="12525" max="12525" width="9.5546875" style="13" bestFit="1" customWidth="1"/>
    <col min="12526" max="12526" width="11.44140625" style="13" customWidth="1"/>
    <col min="12527" max="12527" width="9.109375" style="13" customWidth="1"/>
    <col min="12528" max="12529" width="10" style="13" customWidth="1"/>
    <col min="12530" max="12530" width="10.88671875" style="13" bestFit="1" customWidth="1"/>
    <col min="12531" max="12768" width="8.88671875" style="13"/>
    <col min="12769" max="12769" width="66.5546875" style="13" bestFit="1" customWidth="1"/>
    <col min="12770" max="12770" width="11.5546875" style="13" bestFit="1" customWidth="1"/>
    <col min="12771" max="12771" width="8.88671875" style="13" bestFit="1" customWidth="1"/>
    <col min="12772" max="12772" width="10" style="13" customWidth="1"/>
    <col min="12773" max="12773" width="12.109375" style="13" bestFit="1" customWidth="1"/>
    <col min="12774" max="12774" width="13.88671875" style="13" bestFit="1" customWidth="1"/>
    <col min="12775" max="12775" width="13.44140625" style="13" customWidth="1"/>
    <col min="12776" max="12776" width="12.109375" style="13" customWidth="1"/>
    <col min="12777" max="12777" width="11.88671875" style="13" customWidth="1"/>
    <col min="12778" max="12778" width="12.44140625" style="13" customWidth="1"/>
    <col min="12779" max="12779" width="11.44140625" style="13" customWidth="1"/>
    <col min="12780" max="12780" width="13.109375" style="13" bestFit="1" customWidth="1"/>
    <col min="12781" max="12781" width="9.5546875" style="13" bestFit="1" customWidth="1"/>
    <col min="12782" max="12782" width="11.44140625" style="13" customWidth="1"/>
    <col min="12783" max="12783" width="9.109375" style="13" customWidth="1"/>
    <col min="12784" max="12785" width="10" style="13" customWidth="1"/>
    <col min="12786" max="12786" width="10.88671875" style="13" bestFit="1" customWidth="1"/>
    <col min="12787" max="13024" width="8.88671875" style="13"/>
    <col min="13025" max="13025" width="66.5546875" style="13" bestFit="1" customWidth="1"/>
    <col min="13026" max="13026" width="11.5546875" style="13" bestFit="1" customWidth="1"/>
    <col min="13027" max="13027" width="8.88671875" style="13" bestFit="1" customWidth="1"/>
    <col min="13028" max="13028" width="10" style="13" customWidth="1"/>
    <col min="13029" max="13029" width="12.109375" style="13" bestFit="1" customWidth="1"/>
    <col min="13030" max="13030" width="13.88671875" style="13" bestFit="1" customWidth="1"/>
    <col min="13031" max="13031" width="13.44140625" style="13" customWidth="1"/>
    <col min="13032" max="13032" width="12.109375" style="13" customWidth="1"/>
    <col min="13033" max="13033" width="11.88671875" style="13" customWidth="1"/>
    <col min="13034" max="13034" width="12.44140625" style="13" customWidth="1"/>
    <col min="13035" max="13035" width="11.44140625" style="13" customWidth="1"/>
    <col min="13036" max="13036" width="13.109375" style="13" bestFit="1" customWidth="1"/>
    <col min="13037" max="13037" width="9.5546875" style="13" bestFit="1" customWidth="1"/>
    <col min="13038" max="13038" width="11.44140625" style="13" customWidth="1"/>
    <col min="13039" max="13039" width="9.109375" style="13" customWidth="1"/>
    <col min="13040" max="13041" width="10" style="13" customWidth="1"/>
    <col min="13042" max="13042" width="10.88671875" style="13" bestFit="1" customWidth="1"/>
    <col min="13043" max="13280" width="8.88671875" style="13"/>
    <col min="13281" max="13281" width="66.5546875" style="13" bestFit="1" customWidth="1"/>
    <col min="13282" max="13282" width="11.5546875" style="13" bestFit="1" customWidth="1"/>
    <col min="13283" max="13283" width="8.88671875" style="13" bestFit="1" customWidth="1"/>
    <col min="13284" max="13284" width="10" style="13" customWidth="1"/>
    <col min="13285" max="13285" width="12.109375" style="13" bestFit="1" customWidth="1"/>
    <col min="13286" max="13286" width="13.88671875" style="13" bestFit="1" customWidth="1"/>
    <col min="13287" max="13287" width="13.44140625" style="13" customWidth="1"/>
    <col min="13288" max="13288" width="12.109375" style="13" customWidth="1"/>
    <col min="13289" max="13289" width="11.88671875" style="13" customWidth="1"/>
    <col min="13290" max="13290" width="12.44140625" style="13" customWidth="1"/>
    <col min="13291" max="13291" width="11.44140625" style="13" customWidth="1"/>
    <col min="13292" max="13292" width="13.109375" style="13" bestFit="1" customWidth="1"/>
    <col min="13293" max="13293" width="9.5546875" style="13" bestFit="1" customWidth="1"/>
    <col min="13294" max="13294" width="11.44140625" style="13" customWidth="1"/>
    <col min="13295" max="13295" width="9.109375" style="13" customWidth="1"/>
    <col min="13296" max="13297" width="10" style="13" customWidth="1"/>
    <col min="13298" max="13298" width="10.88671875" style="13" bestFit="1" customWidth="1"/>
    <col min="13299" max="13536" width="8.88671875" style="13"/>
    <col min="13537" max="13537" width="66.5546875" style="13" bestFit="1" customWidth="1"/>
    <col min="13538" max="13538" width="11.5546875" style="13" bestFit="1" customWidth="1"/>
    <col min="13539" max="13539" width="8.88671875" style="13" bestFit="1" customWidth="1"/>
    <col min="13540" max="13540" width="10" style="13" customWidth="1"/>
    <col min="13541" max="13541" width="12.109375" style="13" bestFit="1" customWidth="1"/>
    <col min="13542" max="13542" width="13.88671875" style="13" bestFit="1" customWidth="1"/>
    <col min="13543" max="13543" width="13.44140625" style="13" customWidth="1"/>
    <col min="13544" max="13544" width="12.109375" style="13" customWidth="1"/>
    <col min="13545" max="13545" width="11.88671875" style="13" customWidth="1"/>
    <col min="13546" max="13546" width="12.44140625" style="13" customWidth="1"/>
    <col min="13547" max="13547" width="11.44140625" style="13" customWidth="1"/>
    <col min="13548" max="13548" width="13.109375" style="13" bestFit="1" customWidth="1"/>
    <col min="13549" max="13549" width="9.5546875" style="13" bestFit="1" customWidth="1"/>
    <col min="13550" max="13550" width="11.44140625" style="13" customWidth="1"/>
    <col min="13551" max="13551" width="9.109375" style="13" customWidth="1"/>
    <col min="13552" max="13553" width="10" style="13" customWidth="1"/>
    <col min="13554" max="13554" width="10.88671875" style="13" bestFit="1" customWidth="1"/>
    <col min="13555" max="13792" width="8.88671875" style="13"/>
    <col min="13793" max="13793" width="66.5546875" style="13" bestFit="1" customWidth="1"/>
    <col min="13794" max="13794" width="11.5546875" style="13" bestFit="1" customWidth="1"/>
    <col min="13795" max="13795" width="8.88671875" style="13" bestFit="1" customWidth="1"/>
    <col min="13796" max="13796" width="10" style="13" customWidth="1"/>
    <col min="13797" max="13797" width="12.109375" style="13" bestFit="1" customWidth="1"/>
    <col min="13798" max="13798" width="13.88671875" style="13" bestFit="1" customWidth="1"/>
    <col min="13799" max="13799" width="13.44140625" style="13" customWidth="1"/>
    <col min="13800" max="13800" width="12.109375" style="13" customWidth="1"/>
    <col min="13801" max="13801" width="11.88671875" style="13" customWidth="1"/>
    <col min="13802" max="13802" width="12.44140625" style="13" customWidth="1"/>
    <col min="13803" max="13803" width="11.44140625" style="13" customWidth="1"/>
    <col min="13804" max="13804" width="13.109375" style="13" bestFit="1" customWidth="1"/>
    <col min="13805" max="13805" width="9.5546875" style="13" bestFit="1" customWidth="1"/>
    <col min="13806" max="13806" width="11.44140625" style="13" customWidth="1"/>
    <col min="13807" max="13807" width="9.109375" style="13" customWidth="1"/>
    <col min="13808" max="13809" width="10" style="13" customWidth="1"/>
    <col min="13810" max="13810" width="10.88671875" style="13" bestFit="1" customWidth="1"/>
    <col min="13811" max="14048" width="8.88671875" style="13"/>
    <col min="14049" max="14049" width="66.5546875" style="13" bestFit="1" customWidth="1"/>
    <col min="14050" max="14050" width="11.5546875" style="13" bestFit="1" customWidth="1"/>
    <col min="14051" max="14051" width="8.88671875" style="13" bestFit="1" customWidth="1"/>
    <col min="14052" max="14052" width="10" style="13" customWidth="1"/>
    <col min="14053" max="14053" width="12.109375" style="13" bestFit="1" customWidth="1"/>
    <col min="14054" max="14054" width="13.88671875" style="13" bestFit="1" customWidth="1"/>
    <col min="14055" max="14055" width="13.44140625" style="13" customWidth="1"/>
    <col min="14056" max="14056" width="12.109375" style="13" customWidth="1"/>
    <col min="14057" max="14057" width="11.88671875" style="13" customWidth="1"/>
    <col min="14058" max="14058" width="12.44140625" style="13" customWidth="1"/>
    <col min="14059" max="14059" width="11.44140625" style="13" customWidth="1"/>
    <col min="14060" max="14060" width="13.109375" style="13" bestFit="1" customWidth="1"/>
    <col min="14061" max="14061" width="9.5546875" style="13" bestFit="1" customWidth="1"/>
    <col min="14062" max="14062" width="11.44140625" style="13" customWidth="1"/>
    <col min="14063" max="14063" width="9.109375" style="13" customWidth="1"/>
    <col min="14064" max="14065" width="10" style="13" customWidth="1"/>
    <col min="14066" max="14066" width="10.88671875" style="13" bestFit="1" customWidth="1"/>
    <col min="14067" max="14304" width="8.88671875" style="13"/>
    <col min="14305" max="14305" width="66.5546875" style="13" bestFit="1" customWidth="1"/>
    <col min="14306" max="14306" width="11.5546875" style="13" bestFit="1" customWidth="1"/>
    <col min="14307" max="14307" width="8.88671875" style="13" bestFit="1" customWidth="1"/>
    <col min="14308" max="14308" width="10" style="13" customWidth="1"/>
    <col min="14309" max="14309" width="12.109375" style="13" bestFit="1" customWidth="1"/>
    <col min="14310" max="14310" width="13.88671875" style="13" bestFit="1" customWidth="1"/>
    <col min="14311" max="14311" width="13.44140625" style="13" customWidth="1"/>
    <col min="14312" max="14312" width="12.109375" style="13" customWidth="1"/>
    <col min="14313" max="14313" width="11.88671875" style="13" customWidth="1"/>
    <col min="14314" max="14314" width="12.44140625" style="13" customWidth="1"/>
    <col min="14315" max="14315" width="11.44140625" style="13" customWidth="1"/>
    <col min="14316" max="14316" width="13.109375" style="13" bestFit="1" customWidth="1"/>
    <col min="14317" max="14317" width="9.5546875" style="13" bestFit="1" customWidth="1"/>
    <col min="14318" max="14318" width="11.44140625" style="13" customWidth="1"/>
    <col min="14319" max="14319" width="9.109375" style="13" customWidth="1"/>
    <col min="14320" max="14321" width="10" style="13" customWidth="1"/>
    <col min="14322" max="14322" width="10.88671875" style="13" bestFit="1" customWidth="1"/>
    <col min="14323" max="14560" width="8.88671875" style="13"/>
    <col min="14561" max="14561" width="66.5546875" style="13" bestFit="1" customWidth="1"/>
    <col min="14562" max="14562" width="11.5546875" style="13" bestFit="1" customWidth="1"/>
    <col min="14563" max="14563" width="8.88671875" style="13" bestFit="1" customWidth="1"/>
    <col min="14564" max="14564" width="10" style="13" customWidth="1"/>
    <col min="14565" max="14565" width="12.109375" style="13" bestFit="1" customWidth="1"/>
    <col min="14566" max="14566" width="13.88671875" style="13" bestFit="1" customWidth="1"/>
    <col min="14567" max="14567" width="13.44140625" style="13" customWidth="1"/>
    <col min="14568" max="14568" width="12.109375" style="13" customWidth="1"/>
    <col min="14569" max="14569" width="11.88671875" style="13" customWidth="1"/>
    <col min="14570" max="14570" width="12.44140625" style="13" customWidth="1"/>
    <col min="14571" max="14571" width="11.44140625" style="13" customWidth="1"/>
    <col min="14572" max="14572" width="13.109375" style="13" bestFit="1" customWidth="1"/>
    <col min="14573" max="14573" width="9.5546875" style="13" bestFit="1" customWidth="1"/>
    <col min="14574" max="14574" width="11.44140625" style="13" customWidth="1"/>
    <col min="14575" max="14575" width="9.109375" style="13" customWidth="1"/>
    <col min="14576" max="14577" width="10" style="13" customWidth="1"/>
    <col min="14578" max="14578" width="10.88671875" style="13" bestFit="1" customWidth="1"/>
    <col min="14579" max="14816" width="8.88671875" style="13"/>
    <col min="14817" max="14817" width="66.5546875" style="13" bestFit="1" customWidth="1"/>
    <col min="14818" max="14818" width="11.5546875" style="13" bestFit="1" customWidth="1"/>
    <col min="14819" max="14819" width="8.88671875" style="13" bestFit="1" customWidth="1"/>
    <col min="14820" max="14820" width="10" style="13" customWidth="1"/>
    <col min="14821" max="14821" width="12.109375" style="13" bestFit="1" customWidth="1"/>
    <col min="14822" max="14822" width="13.88671875" style="13" bestFit="1" customWidth="1"/>
    <col min="14823" max="14823" width="13.44140625" style="13" customWidth="1"/>
    <col min="14824" max="14824" width="12.109375" style="13" customWidth="1"/>
    <col min="14825" max="14825" width="11.88671875" style="13" customWidth="1"/>
    <col min="14826" max="14826" width="12.44140625" style="13" customWidth="1"/>
    <col min="14827" max="14827" width="11.44140625" style="13" customWidth="1"/>
    <col min="14828" max="14828" width="13.109375" style="13" bestFit="1" customWidth="1"/>
    <col min="14829" max="14829" width="9.5546875" style="13" bestFit="1" customWidth="1"/>
    <col min="14830" max="14830" width="11.44140625" style="13" customWidth="1"/>
    <col min="14831" max="14831" width="9.109375" style="13" customWidth="1"/>
    <col min="14832" max="14833" width="10" style="13" customWidth="1"/>
    <col min="14834" max="14834" width="10.88671875" style="13" bestFit="1" customWidth="1"/>
    <col min="14835" max="15072" width="8.88671875" style="13"/>
    <col min="15073" max="15073" width="66.5546875" style="13" bestFit="1" customWidth="1"/>
    <col min="15074" max="15074" width="11.5546875" style="13" bestFit="1" customWidth="1"/>
    <col min="15075" max="15075" width="8.88671875" style="13" bestFit="1" customWidth="1"/>
    <col min="15076" max="15076" width="10" style="13" customWidth="1"/>
    <col min="15077" max="15077" width="12.109375" style="13" bestFit="1" customWidth="1"/>
    <col min="15078" max="15078" width="13.88671875" style="13" bestFit="1" customWidth="1"/>
    <col min="15079" max="15079" width="13.44140625" style="13" customWidth="1"/>
    <col min="15080" max="15080" width="12.109375" style="13" customWidth="1"/>
    <col min="15081" max="15081" width="11.88671875" style="13" customWidth="1"/>
    <col min="15082" max="15082" width="12.44140625" style="13" customWidth="1"/>
    <col min="15083" max="15083" width="11.44140625" style="13" customWidth="1"/>
    <col min="15084" max="15084" width="13.109375" style="13" bestFit="1" customWidth="1"/>
    <col min="15085" max="15085" width="9.5546875" style="13" bestFit="1" customWidth="1"/>
    <col min="15086" max="15086" width="11.44140625" style="13" customWidth="1"/>
    <col min="15087" max="15087" width="9.109375" style="13" customWidth="1"/>
    <col min="15088" max="15089" width="10" style="13" customWidth="1"/>
    <col min="15090" max="15090" width="10.88671875" style="13" bestFit="1" customWidth="1"/>
    <col min="15091" max="15328" width="8.88671875" style="13"/>
    <col min="15329" max="15329" width="66.5546875" style="13" bestFit="1" customWidth="1"/>
    <col min="15330" max="15330" width="11.5546875" style="13" bestFit="1" customWidth="1"/>
    <col min="15331" max="15331" width="8.88671875" style="13" bestFit="1" customWidth="1"/>
    <col min="15332" max="15332" width="10" style="13" customWidth="1"/>
    <col min="15333" max="15333" width="12.109375" style="13" bestFit="1" customWidth="1"/>
    <col min="15334" max="15334" width="13.88671875" style="13" bestFit="1" customWidth="1"/>
    <col min="15335" max="15335" width="13.44140625" style="13" customWidth="1"/>
    <col min="15336" max="15336" width="12.109375" style="13" customWidth="1"/>
    <col min="15337" max="15337" width="11.88671875" style="13" customWidth="1"/>
    <col min="15338" max="15338" width="12.44140625" style="13" customWidth="1"/>
    <col min="15339" max="15339" width="11.44140625" style="13" customWidth="1"/>
    <col min="15340" max="15340" width="13.109375" style="13" bestFit="1" customWidth="1"/>
    <col min="15341" max="15341" width="9.5546875" style="13" bestFit="1" customWidth="1"/>
    <col min="15342" max="15342" width="11.44140625" style="13" customWidth="1"/>
    <col min="15343" max="15343" width="9.109375" style="13" customWidth="1"/>
    <col min="15344" max="15345" width="10" style="13" customWidth="1"/>
    <col min="15346" max="15346" width="10.88671875" style="13" bestFit="1" customWidth="1"/>
    <col min="15347" max="15584" width="8.88671875" style="13"/>
    <col min="15585" max="15585" width="66.5546875" style="13" bestFit="1" customWidth="1"/>
    <col min="15586" max="15586" width="11.5546875" style="13" bestFit="1" customWidth="1"/>
    <col min="15587" max="15587" width="8.88671875" style="13" bestFit="1" customWidth="1"/>
    <col min="15588" max="15588" width="10" style="13" customWidth="1"/>
    <col min="15589" max="15589" width="12.109375" style="13" bestFit="1" customWidth="1"/>
    <col min="15590" max="15590" width="13.88671875" style="13" bestFit="1" customWidth="1"/>
    <col min="15591" max="15591" width="13.44140625" style="13" customWidth="1"/>
    <col min="15592" max="15592" width="12.109375" style="13" customWidth="1"/>
    <col min="15593" max="15593" width="11.88671875" style="13" customWidth="1"/>
    <col min="15594" max="15594" width="12.44140625" style="13" customWidth="1"/>
    <col min="15595" max="15595" width="11.44140625" style="13" customWidth="1"/>
    <col min="15596" max="15596" width="13.109375" style="13" bestFit="1" customWidth="1"/>
    <col min="15597" max="15597" width="9.5546875" style="13" bestFit="1" customWidth="1"/>
    <col min="15598" max="15598" width="11.44140625" style="13" customWidth="1"/>
    <col min="15599" max="15599" width="9.109375" style="13" customWidth="1"/>
    <col min="15600" max="15601" width="10" style="13" customWidth="1"/>
    <col min="15602" max="15602" width="10.88671875" style="13" bestFit="1" customWidth="1"/>
    <col min="15603" max="15840" width="8.88671875" style="13"/>
    <col min="15841" max="15841" width="66.5546875" style="13" bestFit="1" customWidth="1"/>
    <col min="15842" max="15842" width="11.5546875" style="13" bestFit="1" customWidth="1"/>
    <col min="15843" max="15843" width="8.88671875" style="13" bestFit="1" customWidth="1"/>
    <col min="15844" max="15844" width="10" style="13" customWidth="1"/>
    <col min="15845" max="15845" width="12.109375" style="13" bestFit="1" customWidth="1"/>
    <col min="15846" max="15846" width="13.88671875" style="13" bestFit="1" customWidth="1"/>
    <col min="15847" max="15847" width="13.44140625" style="13" customWidth="1"/>
    <col min="15848" max="15848" width="12.109375" style="13" customWidth="1"/>
    <col min="15849" max="15849" width="11.88671875" style="13" customWidth="1"/>
    <col min="15850" max="15850" width="12.44140625" style="13" customWidth="1"/>
    <col min="15851" max="15851" width="11.44140625" style="13" customWidth="1"/>
    <col min="15852" max="15852" width="13.109375" style="13" bestFit="1" customWidth="1"/>
    <col min="15853" max="15853" width="9.5546875" style="13" bestFit="1" customWidth="1"/>
    <col min="15854" max="15854" width="11.44140625" style="13" customWidth="1"/>
    <col min="15855" max="15855" width="9.109375" style="13" customWidth="1"/>
    <col min="15856" max="15857" width="10" style="13" customWidth="1"/>
    <col min="15858" max="15858" width="10.88671875" style="13" bestFit="1" customWidth="1"/>
    <col min="15859" max="16096" width="8.88671875" style="13"/>
    <col min="16097" max="16097" width="66.5546875" style="13" bestFit="1" customWidth="1"/>
    <col min="16098" max="16098" width="11.5546875" style="13" bestFit="1" customWidth="1"/>
    <col min="16099" max="16099" width="8.88671875" style="13" bestFit="1" customWidth="1"/>
    <col min="16100" max="16100" width="10" style="13" customWidth="1"/>
    <col min="16101" max="16101" width="12.109375" style="13" bestFit="1" customWidth="1"/>
    <col min="16102" max="16102" width="13.88671875" style="13" bestFit="1" customWidth="1"/>
    <col min="16103" max="16103" width="13.44140625" style="13" customWidth="1"/>
    <col min="16104" max="16104" width="12.109375" style="13" customWidth="1"/>
    <col min="16105" max="16105" width="11.88671875" style="13" customWidth="1"/>
    <col min="16106" max="16106" width="12.44140625" style="13" customWidth="1"/>
    <col min="16107" max="16107" width="11.44140625" style="13" customWidth="1"/>
    <col min="16108" max="16108" width="13.109375" style="13" bestFit="1" customWidth="1"/>
    <col min="16109" max="16109" width="9.5546875" style="13" bestFit="1" customWidth="1"/>
    <col min="16110" max="16110" width="11.44140625" style="13" customWidth="1"/>
    <col min="16111" max="16111" width="9.109375" style="13" customWidth="1"/>
    <col min="16112" max="16113" width="10" style="13" customWidth="1"/>
    <col min="16114" max="16114" width="10.88671875" style="13" bestFit="1" customWidth="1"/>
    <col min="16115" max="16384" width="8.88671875" style="13"/>
  </cols>
  <sheetData>
    <row r="1" spans="1:27" x14ac:dyDescent="0.2">
      <c r="A1" s="1" t="s">
        <v>66</v>
      </c>
      <c r="B1" s="1" t="s">
        <v>67</v>
      </c>
      <c r="C1" s="55">
        <v>44835</v>
      </c>
      <c r="D1" s="55">
        <v>44927</v>
      </c>
      <c r="E1" s="55">
        <v>45017</v>
      </c>
      <c r="F1" s="55">
        <v>45108</v>
      </c>
      <c r="G1" s="55">
        <v>45200</v>
      </c>
      <c r="H1" s="55">
        <v>45292</v>
      </c>
      <c r="I1" s="55">
        <v>45383</v>
      </c>
      <c r="J1" s="55">
        <v>45474</v>
      </c>
      <c r="K1" s="55">
        <v>45566</v>
      </c>
      <c r="L1" s="55">
        <v>45658</v>
      </c>
      <c r="M1" s="55">
        <v>45748</v>
      </c>
      <c r="N1" s="55">
        <v>45839</v>
      </c>
      <c r="O1" s="55">
        <v>45931</v>
      </c>
      <c r="P1" s="55">
        <v>46023</v>
      </c>
      <c r="Q1" s="55">
        <v>46113</v>
      </c>
      <c r="R1" s="55">
        <v>46204</v>
      </c>
      <c r="S1" s="55">
        <v>46296</v>
      </c>
      <c r="T1" s="55">
        <v>46388</v>
      </c>
      <c r="U1" s="55">
        <v>46478</v>
      </c>
      <c r="V1" s="55">
        <v>46569</v>
      </c>
      <c r="W1" s="55">
        <v>46661</v>
      </c>
      <c r="X1" s="55">
        <v>46753</v>
      </c>
      <c r="Y1" s="55">
        <v>46844</v>
      </c>
      <c r="Z1" s="55">
        <v>46935</v>
      </c>
      <c r="AA1" s="55">
        <v>47027</v>
      </c>
    </row>
    <row r="2" spans="1:27" x14ac:dyDescent="0.2">
      <c r="A2" s="12" t="s">
        <v>22</v>
      </c>
      <c r="B2" s="12" t="s">
        <v>68</v>
      </c>
      <c r="C2" s="42">
        <v>1213.54</v>
      </c>
      <c r="D2" s="42">
        <v>1259.6119916773132</v>
      </c>
      <c r="E2" s="42">
        <v>1303.3384476672559</v>
      </c>
      <c r="F2" s="42">
        <v>1354.4274331589963</v>
      </c>
      <c r="G2" s="42">
        <v>1391.9210598884429</v>
      </c>
      <c r="H2" s="42">
        <v>1435.1031649001236</v>
      </c>
      <c r="I2" s="42">
        <v>1476.2019135187759</v>
      </c>
      <c r="J2" s="42">
        <v>1533.1835104022182</v>
      </c>
      <c r="K2" s="42">
        <v>1579.9145707207999</v>
      </c>
      <c r="L2" s="42">
        <v>1625.4824131266896</v>
      </c>
      <c r="M2" s="42">
        <v>1669.108571869863</v>
      </c>
      <c r="N2" s="42">
        <v>1719.2083026832006</v>
      </c>
      <c r="O2" s="42">
        <v>1770.4196325945147</v>
      </c>
      <c r="P2" s="42">
        <v>0</v>
      </c>
      <c r="Q2" s="42">
        <f t="shared" ref="Q2:AA2" ca="1" si="0">P2*(RAND()*(1.04-1.025)+1.025)</f>
        <v>0</v>
      </c>
      <c r="R2" s="42">
        <f t="shared" ca="1" si="0"/>
        <v>0</v>
      </c>
      <c r="S2" s="42">
        <f t="shared" ca="1" si="0"/>
        <v>0</v>
      </c>
      <c r="T2" s="42">
        <f t="shared" ca="1" si="0"/>
        <v>0</v>
      </c>
      <c r="U2" s="42">
        <f t="shared" ca="1" si="0"/>
        <v>0</v>
      </c>
      <c r="V2" s="42">
        <f t="shared" ca="1" si="0"/>
        <v>0</v>
      </c>
      <c r="W2" s="42">
        <f t="shared" ca="1" si="0"/>
        <v>0</v>
      </c>
      <c r="X2" s="42">
        <f t="shared" ca="1" si="0"/>
        <v>0</v>
      </c>
      <c r="Y2" s="42">
        <f t="shared" ca="1" si="0"/>
        <v>0</v>
      </c>
      <c r="Z2" s="42">
        <f t="shared" ca="1" si="0"/>
        <v>0</v>
      </c>
      <c r="AA2" s="42">
        <f t="shared" ca="1" si="0"/>
        <v>0</v>
      </c>
    </row>
    <row r="3" spans="1:27" x14ac:dyDescent="0.2">
      <c r="A3" s="12" t="s">
        <v>22</v>
      </c>
      <c r="B3" s="12" t="s">
        <v>69</v>
      </c>
      <c r="C3" s="42">
        <v>231.45</v>
      </c>
      <c r="D3" s="42">
        <v>261.0324318424361</v>
      </c>
      <c r="E3" s="42">
        <v>265.49974710968894</v>
      </c>
      <c r="F3" s="42">
        <v>284.00177735562784</v>
      </c>
      <c r="G3" s="42">
        <v>269.90844298357138</v>
      </c>
      <c r="H3" s="42">
        <v>269.20512434285547</v>
      </c>
      <c r="I3" s="42">
        <v>268.87171964706636</v>
      </c>
      <c r="J3" s="42">
        <v>261.20963034327553</v>
      </c>
      <c r="K3" s="42">
        <v>249.07599529331469</v>
      </c>
      <c r="L3" s="42">
        <v>280.72525400447029</v>
      </c>
      <c r="M3" s="42">
        <v>287.83389450785563</v>
      </c>
      <c r="N3" s="42">
        <v>281.51813210908875</v>
      </c>
      <c r="O3" s="42">
        <v>318.77545341054235</v>
      </c>
      <c r="P3" s="42">
        <v>0</v>
      </c>
      <c r="Q3" s="42">
        <f t="shared" ref="Q3:AA3" ca="1" si="1">P3*(RAND()*(1.15-0.93)+0.93)</f>
        <v>0</v>
      </c>
      <c r="R3" s="42">
        <f t="shared" ca="1" si="1"/>
        <v>0</v>
      </c>
      <c r="S3" s="42">
        <f t="shared" ca="1" si="1"/>
        <v>0</v>
      </c>
      <c r="T3" s="42">
        <f t="shared" ca="1" si="1"/>
        <v>0</v>
      </c>
      <c r="U3" s="42">
        <f t="shared" ca="1" si="1"/>
        <v>0</v>
      </c>
      <c r="V3" s="42">
        <f t="shared" ca="1" si="1"/>
        <v>0</v>
      </c>
      <c r="W3" s="42">
        <f t="shared" ca="1" si="1"/>
        <v>0</v>
      </c>
      <c r="X3" s="42">
        <f t="shared" ca="1" si="1"/>
        <v>0</v>
      </c>
      <c r="Y3" s="42">
        <f t="shared" ca="1" si="1"/>
        <v>0</v>
      </c>
      <c r="Z3" s="42">
        <f t="shared" ca="1" si="1"/>
        <v>0</v>
      </c>
      <c r="AA3" s="42">
        <f t="shared" ca="1" si="1"/>
        <v>0</v>
      </c>
    </row>
    <row r="4" spans="1:27" x14ac:dyDescent="0.2">
      <c r="A4" s="12" t="s">
        <v>22</v>
      </c>
      <c r="B4" s="12" t="s">
        <v>74</v>
      </c>
      <c r="C4" s="42">
        <v>3133.4</v>
      </c>
      <c r="D4" s="42">
        <v>3045.1297280432527</v>
      </c>
      <c r="E4" s="42">
        <v>3090.5479430164992</v>
      </c>
      <c r="F4" s="42">
        <v>3552.5213779763171</v>
      </c>
      <c r="G4" s="42">
        <v>3831.033458579067</v>
      </c>
      <c r="H4" s="42">
        <v>4334.5663300433444</v>
      </c>
      <c r="I4" s="42">
        <v>4463.8460764545343</v>
      </c>
      <c r="J4" s="42">
        <v>4545.6562650672095</v>
      </c>
      <c r="K4" s="42">
        <v>4853.0415300983441</v>
      </c>
      <c r="L4" s="42">
        <v>5220.1144743045124</v>
      </c>
      <c r="M4" s="42">
        <v>5802.2081723741831</v>
      </c>
      <c r="N4" s="42">
        <v>6133.3318474775015</v>
      </c>
      <c r="O4" s="42">
        <v>6888.5989616951692</v>
      </c>
      <c r="P4" s="42">
        <v>0</v>
      </c>
      <c r="Q4" s="42">
        <f t="shared" ref="Q4:AA4" ca="1" si="2">P4*(RAND()*(1.15-0.93)+0.93)</f>
        <v>0</v>
      </c>
      <c r="R4" s="42">
        <f t="shared" ca="1" si="2"/>
        <v>0</v>
      </c>
      <c r="S4" s="42">
        <f t="shared" ca="1" si="2"/>
        <v>0</v>
      </c>
      <c r="T4" s="42">
        <f t="shared" ca="1" si="2"/>
        <v>0</v>
      </c>
      <c r="U4" s="42">
        <f t="shared" ca="1" si="2"/>
        <v>0</v>
      </c>
      <c r="V4" s="42">
        <f t="shared" ca="1" si="2"/>
        <v>0</v>
      </c>
      <c r="W4" s="42">
        <f t="shared" ca="1" si="2"/>
        <v>0</v>
      </c>
      <c r="X4" s="42">
        <f t="shared" ca="1" si="2"/>
        <v>0</v>
      </c>
      <c r="Y4" s="42">
        <f t="shared" ca="1" si="2"/>
        <v>0</v>
      </c>
      <c r="Z4" s="42">
        <f t="shared" ca="1" si="2"/>
        <v>0</v>
      </c>
      <c r="AA4" s="42">
        <f t="shared" ca="1" si="2"/>
        <v>0</v>
      </c>
    </row>
    <row r="5" spans="1:27" x14ac:dyDescent="0.2">
      <c r="A5" s="12" t="s">
        <v>22</v>
      </c>
      <c r="B5" s="12" t="s">
        <v>75</v>
      </c>
      <c r="C5" s="42">
        <v>124.6</v>
      </c>
      <c r="D5" s="42">
        <v>128.82975348740206</v>
      </c>
      <c r="E5" s="42">
        <v>134.67439761928912</v>
      </c>
      <c r="F5" s="42">
        <v>139.53920644560381</v>
      </c>
      <c r="G5" s="42">
        <v>142.34560998917291</v>
      </c>
      <c r="H5" s="42">
        <v>144.02960101823581</v>
      </c>
      <c r="I5" s="42">
        <v>147.31621766360294</v>
      </c>
      <c r="J5" s="42">
        <v>149.05273780364419</v>
      </c>
      <c r="K5" s="42">
        <v>155.5836265352481</v>
      </c>
      <c r="L5" s="42">
        <v>158.7910897914908</v>
      </c>
      <c r="M5" s="42">
        <v>160.55219753626932</v>
      </c>
      <c r="N5" s="42">
        <v>168.28769533932251</v>
      </c>
      <c r="O5" s="42">
        <v>170.20831021463476</v>
      </c>
      <c r="P5" s="42">
        <v>0</v>
      </c>
      <c r="Q5" s="42">
        <f t="shared" ref="Q5:AA5" ca="1" si="3">P5*(RAND()*(1.05-1.1)+1.05)</f>
        <v>0</v>
      </c>
      <c r="R5" s="42">
        <f t="shared" ca="1" si="3"/>
        <v>0</v>
      </c>
      <c r="S5" s="42">
        <f t="shared" ca="1" si="3"/>
        <v>0</v>
      </c>
      <c r="T5" s="42">
        <f t="shared" ca="1" si="3"/>
        <v>0</v>
      </c>
      <c r="U5" s="42">
        <f t="shared" ca="1" si="3"/>
        <v>0</v>
      </c>
      <c r="V5" s="42">
        <f t="shared" ca="1" si="3"/>
        <v>0</v>
      </c>
      <c r="W5" s="42">
        <f t="shared" ca="1" si="3"/>
        <v>0</v>
      </c>
      <c r="X5" s="42">
        <f t="shared" ca="1" si="3"/>
        <v>0</v>
      </c>
      <c r="Y5" s="42">
        <f t="shared" ca="1" si="3"/>
        <v>0</v>
      </c>
      <c r="Z5" s="42">
        <f t="shared" ca="1" si="3"/>
        <v>0</v>
      </c>
      <c r="AA5" s="42">
        <f t="shared" ca="1" si="3"/>
        <v>0</v>
      </c>
    </row>
    <row r="6" spans="1:27" x14ac:dyDescent="0.2">
      <c r="A6" s="12" t="s">
        <v>22</v>
      </c>
      <c r="B6" s="12" t="s">
        <v>76</v>
      </c>
      <c r="C6" s="42">
        <v>454.3</v>
      </c>
      <c r="D6" s="42">
        <v>466.74773778966056</v>
      </c>
      <c r="E6" s="42">
        <v>479.10852457083382</v>
      </c>
      <c r="F6" s="42">
        <v>492.53368107939627</v>
      </c>
      <c r="G6" s="42">
        <v>515.17548698779183</v>
      </c>
      <c r="H6" s="42">
        <v>528.77931611078793</v>
      </c>
      <c r="I6" s="42">
        <v>544.84115924274636</v>
      </c>
      <c r="J6" s="42">
        <v>556.04155066691487</v>
      </c>
      <c r="K6" s="42">
        <v>571.86402567651908</v>
      </c>
      <c r="L6" s="42">
        <v>590.23953957237086</v>
      </c>
      <c r="M6" s="42">
        <v>617.6334723417333</v>
      </c>
      <c r="N6" s="42">
        <v>625.76083461715245</v>
      </c>
      <c r="O6" s="42">
        <v>649.43944353549239</v>
      </c>
      <c r="P6" s="42">
        <v>0</v>
      </c>
      <c r="Q6" s="42">
        <f t="shared" ref="Q6:AA6" ca="1" si="4">P6*(RAND()*(1.05-1.01)+1.01)</f>
        <v>0</v>
      </c>
      <c r="R6" s="42">
        <f t="shared" ca="1" si="4"/>
        <v>0</v>
      </c>
      <c r="S6" s="42">
        <f t="shared" ca="1" si="4"/>
        <v>0</v>
      </c>
      <c r="T6" s="42">
        <f t="shared" ca="1" si="4"/>
        <v>0</v>
      </c>
      <c r="U6" s="42">
        <f t="shared" ca="1" si="4"/>
        <v>0</v>
      </c>
      <c r="V6" s="42">
        <f t="shared" ca="1" si="4"/>
        <v>0</v>
      </c>
      <c r="W6" s="42">
        <f t="shared" ca="1" si="4"/>
        <v>0</v>
      </c>
      <c r="X6" s="42">
        <f t="shared" ca="1" si="4"/>
        <v>0</v>
      </c>
      <c r="Y6" s="42">
        <f t="shared" ca="1" si="4"/>
        <v>0</v>
      </c>
      <c r="Z6" s="42">
        <f t="shared" ca="1" si="4"/>
        <v>0</v>
      </c>
      <c r="AA6" s="42">
        <f t="shared" ca="1" si="4"/>
        <v>0</v>
      </c>
    </row>
    <row r="7" spans="1:27" x14ac:dyDescent="0.2">
      <c r="A7" s="12" t="s">
        <v>22</v>
      </c>
      <c r="B7" s="12" t="s">
        <v>77</v>
      </c>
      <c r="C7" s="42">
        <v>64.12</v>
      </c>
      <c r="D7" s="42">
        <v>64.12</v>
      </c>
      <c r="E7" s="42">
        <v>64.12</v>
      </c>
      <c r="F7" s="42">
        <v>64.12</v>
      </c>
      <c r="G7" s="42">
        <v>64.12</v>
      </c>
      <c r="H7" s="42">
        <v>64.12</v>
      </c>
      <c r="I7" s="42">
        <v>64.12</v>
      </c>
      <c r="J7" s="42">
        <v>64.12</v>
      </c>
      <c r="K7" s="42">
        <v>64.12</v>
      </c>
      <c r="L7" s="42">
        <v>64.12</v>
      </c>
      <c r="M7" s="42">
        <v>64.12</v>
      </c>
      <c r="N7" s="42">
        <v>64.12</v>
      </c>
      <c r="O7" s="42">
        <v>64.12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</row>
    <row r="8" spans="1:27" x14ac:dyDescent="0.2">
      <c r="A8" s="12" t="s">
        <v>23</v>
      </c>
      <c r="B8" s="12" t="s">
        <v>68</v>
      </c>
      <c r="C8" s="42">
        <v>620.4</v>
      </c>
      <c r="D8" s="42">
        <v>638.39155432293933</v>
      </c>
      <c r="E8" s="42">
        <v>655.91464087809538</v>
      </c>
      <c r="F8" s="42">
        <v>674.6616350484976</v>
      </c>
      <c r="G8" s="42">
        <v>692.6777658495206</v>
      </c>
      <c r="H8" s="42">
        <v>713.40520600541333</v>
      </c>
      <c r="I8" s="42">
        <v>740.52879498389268</v>
      </c>
      <c r="J8" s="42">
        <v>762.27514411131676</v>
      </c>
      <c r="K8" s="42">
        <v>783.19380326725661</v>
      </c>
      <c r="L8" s="42">
        <v>808.85227702686404</v>
      </c>
      <c r="M8" s="42">
        <v>839.5549913032587</v>
      </c>
      <c r="N8" s="42">
        <v>868.35887250127155</v>
      </c>
      <c r="O8" s="42">
        <v>891.31608643755521</v>
      </c>
      <c r="P8" s="42">
        <v>0</v>
      </c>
      <c r="Q8" s="42">
        <f t="shared" ref="Q8:AA8" ca="1" si="5">P8*(RAND()*(1.04-1.025)+1.025)</f>
        <v>0</v>
      </c>
      <c r="R8" s="42">
        <f t="shared" ca="1" si="5"/>
        <v>0</v>
      </c>
      <c r="S8" s="42">
        <f t="shared" ca="1" si="5"/>
        <v>0</v>
      </c>
      <c r="T8" s="42">
        <f t="shared" ca="1" si="5"/>
        <v>0</v>
      </c>
      <c r="U8" s="42">
        <f t="shared" ca="1" si="5"/>
        <v>0</v>
      </c>
      <c r="V8" s="42">
        <f t="shared" ca="1" si="5"/>
        <v>0</v>
      </c>
      <c r="W8" s="42">
        <f t="shared" ca="1" si="5"/>
        <v>0</v>
      </c>
      <c r="X8" s="42">
        <f t="shared" ca="1" si="5"/>
        <v>0</v>
      </c>
      <c r="Y8" s="42">
        <f t="shared" ca="1" si="5"/>
        <v>0</v>
      </c>
      <c r="Z8" s="42">
        <f t="shared" ca="1" si="5"/>
        <v>0</v>
      </c>
      <c r="AA8" s="42">
        <f t="shared" ca="1" si="5"/>
        <v>0</v>
      </c>
    </row>
    <row r="9" spans="1:27" x14ac:dyDescent="0.2">
      <c r="A9" s="12" t="s">
        <v>23</v>
      </c>
      <c r="B9" s="12" t="s">
        <v>69</v>
      </c>
      <c r="C9" s="42">
        <v>406.30705861558494</v>
      </c>
      <c r="D9" s="42">
        <v>733.68749605800008</v>
      </c>
      <c r="E9" s="42">
        <v>965.50834941599987</v>
      </c>
      <c r="F9" s="42">
        <v>755.10175226399997</v>
      </c>
      <c r="G9" s="42">
        <v>648.81721488000017</v>
      </c>
      <c r="H9" s="42">
        <v>866.55734519999999</v>
      </c>
      <c r="I9" s="42">
        <v>957.69059879999998</v>
      </c>
      <c r="J9" s="42">
        <v>828.30601379999996</v>
      </c>
      <c r="K9" s="42">
        <v>608.79067508555295</v>
      </c>
      <c r="L9" s="42">
        <v>977.54154885360003</v>
      </c>
      <c r="M9" s="42">
        <v>1315.0039020013139</v>
      </c>
      <c r="N9" s="42">
        <v>856.92771477797896</v>
      </c>
      <c r="O9" s="42">
        <v>772.57751519999999</v>
      </c>
      <c r="P9" s="42">
        <f>'Cash Flow Statement_Actual'!O3*0.003</f>
        <v>0</v>
      </c>
      <c r="Q9" s="42">
        <f>'Cash Flow Statement_Actual'!P3*0.003</f>
        <v>0</v>
      </c>
      <c r="R9" s="42">
        <f>'Cash Flow Statement_Actual'!Q3*0.003</f>
        <v>0</v>
      </c>
      <c r="S9" s="42">
        <f>'Cash Flow Statement_Actual'!R3*0.003</f>
        <v>0</v>
      </c>
      <c r="T9" s="42">
        <f>'Cash Flow Statement_Actual'!S3*0.003</f>
        <v>0</v>
      </c>
      <c r="U9" s="42">
        <f>'Cash Flow Statement_Actual'!T3*0.003</f>
        <v>0</v>
      </c>
      <c r="V9" s="42">
        <f>'Cash Flow Statement_Actual'!U3*0.003</f>
        <v>0</v>
      </c>
      <c r="W9" s="42">
        <f>'Cash Flow Statement_Actual'!V3*0.003</f>
        <v>0</v>
      </c>
      <c r="X9" s="42">
        <f>'Cash Flow Statement_Actual'!W3*0.003</f>
        <v>0</v>
      </c>
      <c r="Y9" s="42">
        <f>'Cash Flow Statement_Actual'!X3*0.003</f>
        <v>0</v>
      </c>
      <c r="Z9" s="42">
        <f>'Cash Flow Statement_Actual'!Y3*0.003</f>
        <v>0</v>
      </c>
      <c r="AA9" s="42">
        <f>'Cash Flow Statement_Actual'!Z3*0.003</f>
        <v>0</v>
      </c>
    </row>
    <row r="10" spans="1:27" x14ac:dyDescent="0.2">
      <c r="A10" s="12" t="s">
        <v>23</v>
      </c>
      <c r="B10" s="12" t="s">
        <v>70</v>
      </c>
      <c r="C10" s="42">
        <v>248.6</v>
      </c>
      <c r="D10" s="42">
        <v>255.21261994967159</v>
      </c>
      <c r="E10" s="42">
        <v>261.66167363925848</v>
      </c>
      <c r="F10" s="42">
        <v>268.89322297495977</v>
      </c>
      <c r="G10" s="42">
        <v>279.28990407799279</v>
      </c>
      <c r="H10" s="42">
        <v>287.01607252179087</v>
      </c>
      <c r="I10" s="42">
        <v>294.70104992360979</v>
      </c>
      <c r="J10" s="42">
        <v>304.07208380824227</v>
      </c>
      <c r="K10" s="42">
        <v>315.33863257908104</v>
      </c>
      <c r="L10" s="42">
        <v>323.49892675355699</v>
      </c>
      <c r="M10" s="42">
        <v>335.13530987660852</v>
      </c>
      <c r="N10" s="42">
        <v>346.93767598519776</v>
      </c>
      <c r="O10" s="42">
        <v>360.4032421385167</v>
      </c>
      <c r="P10" s="42">
        <v>0</v>
      </c>
      <c r="Q10" s="42">
        <f t="shared" ref="Q10:AA10" ca="1" si="6">P10*(RAND()*(1.04-1.025)+1.025)</f>
        <v>0</v>
      </c>
      <c r="R10" s="42">
        <f t="shared" ca="1" si="6"/>
        <v>0</v>
      </c>
      <c r="S10" s="42">
        <f t="shared" ca="1" si="6"/>
        <v>0</v>
      </c>
      <c r="T10" s="42">
        <f t="shared" ca="1" si="6"/>
        <v>0</v>
      </c>
      <c r="U10" s="42">
        <f t="shared" ca="1" si="6"/>
        <v>0</v>
      </c>
      <c r="V10" s="42">
        <f t="shared" ca="1" si="6"/>
        <v>0</v>
      </c>
      <c r="W10" s="42">
        <f t="shared" ca="1" si="6"/>
        <v>0</v>
      </c>
      <c r="X10" s="42">
        <f t="shared" ca="1" si="6"/>
        <v>0</v>
      </c>
      <c r="Y10" s="42">
        <f t="shared" ca="1" si="6"/>
        <v>0</v>
      </c>
      <c r="Z10" s="42">
        <f t="shared" ca="1" si="6"/>
        <v>0</v>
      </c>
      <c r="AA10" s="42">
        <f t="shared" ca="1" si="6"/>
        <v>0</v>
      </c>
    </row>
    <row r="11" spans="1:27" x14ac:dyDescent="0.2">
      <c r="A11" s="12" t="s">
        <v>23</v>
      </c>
      <c r="B11" s="12" t="s">
        <v>71</v>
      </c>
      <c r="C11" s="42">
        <v>79.3</v>
      </c>
      <c r="D11" s="42">
        <v>89.794656742568591</v>
      </c>
      <c r="E11" s="42">
        <v>94.729324304306417</v>
      </c>
      <c r="F11" s="42">
        <v>94.498662508060193</v>
      </c>
      <c r="G11" s="42">
        <v>96.36830730816844</v>
      </c>
      <c r="H11" s="42">
        <v>97.423272662826093</v>
      </c>
      <c r="I11" s="42">
        <v>108.72562965415672</v>
      </c>
      <c r="J11" s="42">
        <v>122.09132932388484</v>
      </c>
      <c r="K11" s="42">
        <v>133.00659822465215</v>
      </c>
      <c r="L11" s="42">
        <v>143.68357747397508</v>
      </c>
      <c r="M11" s="42">
        <v>135.20747943023565</v>
      </c>
      <c r="N11" s="42">
        <v>130.22416461477982</v>
      </c>
      <c r="O11" s="42">
        <v>135.51892672031468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</row>
    <row r="12" spans="1:27" x14ac:dyDescent="0.2">
      <c r="A12" s="12" t="s">
        <v>23</v>
      </c>
      <c r="B12" s="12" t="s">
        <v>72</v>
      </c>
      <c r="C12" s="42">
        <v>9288.7605887282007</v>
      </c>
      <c r="D12" s="42">
        <v>20248.915002236776</v>
      </c>
      <c r="E12" s="42">
        <v>20134.943441372241</v>
      </c>
      <c r="F12" s="42">
        <v>16969.1381932843</v>
      </c>
      <c r="G12" s="42">
        <v>15485.438912262587</v>
      </c>
      <c r="H12" s="42">
        <v>25411.760608069744</v>
      </c>
      <c r="I12" s="42">
        <v>23029.011959282914</v>
      </c>
      <c r="J12" s="42">
        <v>17590.926020717423</v>
      </c>
      <c r="K12" s="42">
        <v>9890.0063570553102</v>
      </c>
      <c r="L12" s="42">
        <v>27000.647722331592</v>
      </c>
      <c r="M12" s="42">
        <v>25273.36133467995</v>
      </c>
      <c r="N12" s="42">
        <v>18631.324381529714</v>
      </c>
      <c r="O12" s="42">
        <v>16056.09568432919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</row>
    <row r="13" spans="1:27" x14ac:dyDescent="0.2">
      <c r="A13" s="12" t="s">
        <v>23</v>
      </c>
      <c r="B13" s="12" t="s">
        <v>73</v>
      </c>
      <c r="C13" s="42">
        <v>148.4</v>
      </c>
      <c r="D13" s="42">
        <v>152.18445035382226</v>
      </c>
      <c r="E13" s="42">
        <v>158.11961833235648</v>
      </c>
      <c r="F13" s="42">
        <v>163.24637486755012</v>
      </c>
      <c r="G13" s="42">
        <v>168.87378118012086</v>
      </c>
      <c r="H13" s="42">
        <v>173.1667487511005</v>
      </c>
      <c r="I13" s="42">
        <v>177.90490867328015</v>
      </c>
      <c r="J13" s="42">
        <v>182.86610049204506</v>
      </c>
      <c r="K13" s="42">
        <v>188.75785863517748</v>
      </c>
      <c r="L13" s="42">
        <v>194.11723032852402</v>
      </c>
      <c r="M13" s="42">
        <v>199.18243512836386</v>
      </c>
      <c r="N13" s="42">
        <v>206.07991375558515</v>
      </c>
      <c r="O13" s="42">
        <v>213.12097410314317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</row>
    <row r="14" spans="1:27" x14ac:dyDescent="0.2">
      <c r="A14" s="12" t="s">
        <v>24</v>
      </c>
      <c r="B14" s="12" t="s">
        <v>78</v>
      </c>
      <c r="C14" s="42">
        <v>2156.6999999999998</v>
      </c>
      <c r="D14" s="42">
        <v>2215.1826184907145</v>
      </c>
      <c r="E14" s="42">
        <v>1241</v>
      </c>
      <c r="F14" s="42">
        <v>2034.12</v>
      </c>
      <c r="G14" s="42">
        <v>2095.7683328878747</v>
      </c>
      <c r="H14" s="42">
        <v>2165.4236800731983</v>
      </c>
      <c r="I14" s="42">
        <v>2235.8768063070688</v>
      </c>
      <c r="J14" s="42">
        <v>2323.7166361814716</v>
      </c>
      <c r="K14" s="42">
        <v>2395.2776677217694</v>
      </c>
      <c r="L14" s="42">
        <v>2463.0501745536149</v>
      </c>
      <c r="M14" s="42">
        <v>2543.5204555795731</v>
      </c>
      <c r="N14" s="42">
        <v>2614.3000000000002</v>
      </c>
      <c r="O14" s="42">
        <v>2686.7172167309582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</row>
    <row r="15" spans="1:27" x14ac:dyDescent="0.2">
      <c r="A15" s="12" t="s">
        <v>24</v>
      </c>
      <c r="B15" s="12" t="s">
        <v>79</v>
      </c>
      <c r="C15" s="42">
        <v>7594.7999999999993</v>
      </c>
      <c r="D15" s="42">
        <v>2736.5476915560748</v>
      </c>
      <c r="E15" s="42">
        <v>143.87342375799085</v>
      </c>
      <c r="F15" s="42">
        <v>101.2528702518033</v>
      </c>
      <c r="G15" s="42">
        <v>13885.911132672525</v>
      </c>
      <c r="H15" s="42">
        <v>32749.535964911327</v>
      </c>
      <c r="I15" s="42">
        <v>3402.7360888669359</v>
      </c>
      <c r="J15" s="42">
        <v>12534.727116107357</v>
      </c>
      <c r="K15" s="42">
        <v>14584.228616970639</v>
      </c>
      <c r="L15" s="42">
        <v>18822.370851546475</v>
      </c>
      <c r="M15" s="42">
        <v>10284.650457792597</v>
      </c>
      <c r="N15" s="42">
        <v>247.52386311746159</v>
      </c>
      <c r="O15" s="42">
        <v>2927.0650999792788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</row>
    <row r="16" spans="1:27" x14ac:dyDescent="0.2">
      <c r="A16" s="12" t="s">
        <v>24</v>
      </c>
      <c r="B16" s="12" t="s">
        <v>81</v>
      </c>
      <c r="C16" s="42">
        <v>3124.4</v>
      </c>
      <c r="D16" s="42">
        <v>3221.0004130168604</v>
      </c>
      <c r="E16" s="42">
        <v>3310.4205827653018</v>
      </c>
      <c r="F16" s="42">
        <v>3430.8061251861768</v>
      </c>
      <c r="G16" s="42">
        <v>3548.9278063678285</v>
      </c>
      <c r="H16" s="42">
        <v>3643.2448151726326</v>
      </c>
      <c r="I16" s="42">
        <v>3749.3362282863081</v>
      </c>
      <c r="J16" s="42">
        <v>3855.3048067227951</v>
      </c>
      <c r="K16" s="42">
        <v>3995.3344463104381</v>
      </c>
      <c r="L16" s="42">
        <v>4120.1874903467024</v>
      </c>
      <c r="M16" s="42">
        <v>4269.1830524684183</v>
      </c>
      <c r="N16" s="42">
        <v>4419.8354697863879</v>
      </c>
      <c r="O16" s="42">
        <v>4596.4835131517184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</row>
    <row r="17" spans="1:27" x14ac:dyDescent="0.2">
      <c r="A17" s="12" t="s">
        <v>24</v>
      </c>
      <c r="B17" s="12" t="s">
        <v>80</v>
      </c>
      <c r="C17" s="42">
        <v>913.1</v>
      </c>
      <c r="D17" s="42">
        <v>946.66927693634955</v>
      </c>
      <c r="E17" s="42">
        <v>972.70599347670736</v>
      </c>
      <c r="F17" s="42">
        <v>1008.82100456202</v>
      </c>
      <c r="G17" s="42">
        <v>1039.3927280717717</v>
      </c>
      <c r="H17" s="42">
        <v>1080.795539842843</v>
      </c>
      <c r="I17" s="42">
        <v>1108.150876539687</v>
      </c>
      <c r="J17" s="42">
        <v>1139.2514409883765</v>
      </c>
      <c r="K17" s="42">
        <v>1172.4592689971523</v>
      </c>
      <c r="L17" s="42">
        <v>1218.2914835532049</v>
      </c>
      <c r="M17" s="42">
        <v>1251.6460341594116</v>
      </c>
      <c r="N17" s="42">
        <v>1296.3406670961504</v>
      </c>
      <c r="O17" s="42">
        <v>1342.7341701380446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Cash Flow Statement_Actual</vt:lpstr>
      <vt:lpstr>Sales_Actual</vt:lpstr>
      <vt:lpstr>COGS_Actual</vt:lpstr>
      <vt:lpstr>Working Capital_Actual</vt:lpstr>
      <vt:lpstr>CapEx_Actual</vt:lpstr>
      <vt:lpstr>Debt Schedule_Actual</vt:lpstr>
      <vt:lpstr>DimDirection</vt:lpstr>
      <vt:lpstr>OPEX_Actual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2026-05-29T12:26:22Z</dcterms:modified>
</cp:coreProperties>
</file>