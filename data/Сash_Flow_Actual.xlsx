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22777" windowHeight="8665" tabRatio="924"/>
  </bookViews>
  <sheets>
    <sheet name="Cash Flow Statement_Actual" sheetId="1" r:id="rId1"/>
    <sheet name="Sales_Actual" sheetId="2" r:id="rId2"/>
    <sheet name="COGS_Actual" sheetId="26" r:id="rId3"/>
    <sheet name="Working Capital_Actual" sheetId="34" r:id="rId4"/>
    <sheet name="CapEx_Actual" sheetId="3" r:id="rId5"/>
    <sheet name="Debt Schedule_Actual" sheetId="6" r:id="rId6"/>
    <sheet name="DimDirection" sheetId="35" r:id="rId7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D33" i="26"/>
  <c r="H33" i="26"/>
  <c r="L33" i="26"/>
  <c r="C29" i="26"/>
  <c r="G29" i="26"/>
  <c r="K29" i="26"/>
  <c r="D17" i="26"/>
  <c r="H17" i="26"/>
  <c r="L17" i="26"/>
  <c r="C15" i="26"/>
  <c r="C17" i="26" s="1"/>
  <c r="D15" i="26"/>
  <c r="E15" i="26"/>
  <c r="E17" i="26" s="1"/>
  <c r="F15" i="26"/>
  <c r="F17" i="26" s="1"/>
  <c r="G15" i="26"/>
  <c r="G17" i="26" s="1"/>
  <c r="H15" i="26"/>
  <c r="I15" i="26"/>
  <c r="I17" i="26" s="1"/>
  <c r="J15" i="26"/>
  <c r="J17" i="26" s="1"/>
  <c r="K15" i="26"/>
  <c r="K17" i="26" s="1"/>
  <c r="L15" i="26"/>
  <c r="M15" i="26"/>
  <c r="M17" i="26" s="1"/>
  <c r="N15" i="26"/>
  <c r="N17" i="26" s="1"/>
  <c r="B15" i="26"/>
  <c r="B17" i="26" s="1"/>
  <c r="F13" i="26"/>
  <c r="J13" i="26"/>
  <c r="N13" i="26"/>
  <c r="E9" i="26"/>
  <c r="I9" i="26"/>
  <c r="M9" i="26"/>
  <c r="C31" i="26"/>
  <c r="C33" i="26" s="1"/>
  <c r="D31" i="26"/>
  <c r="E31" i="26"/>
  <c r="E33" i="26" s="1"/>
  <c r="F31" i="26"/>
  <c r="F33" i="26" s="1"/>
  <c r="G31" i="26"/>
  <c r="G33" i="26" s="1"/>
  <c r="H31" i="26"/>
  <c r="I31" i="26"/>
  <c r="I33" i="26" s="1"/>
  <c r="J31" i="26"/>
  <c r="J33" i="26" s="1"/>
  <c r="K31" i="26"/>
  <c r="K33" i="26" s="1"/>
  <c r="L31" i="26"/>
  <c r="M31" i="26"/>
  <c r="M33" i="26" s="1"/>
  <c r="N31" i="26"/>
  <c r="N33" i="26" s="1"/>
  <c r="B31" i="26"/>
  <c r="B33" i="26" s="1"/>
  <c r="C27" i="26"/>
  <c r="D27" i="26"/>
  <c r="D29" i="26" s="1"/>
  <c r="E27" i="26"/>
  <c r="E29" i="26" s="1"/>
  <c r="F27" i="26"/>
  <c r="F29" i="26" s="1"/>
  <c r="G27" i="26"/>
  <c r="H27" i="26"/>
  <c r="H29" i="26" s="1"/>
  <c r="I27" i="26"/>
  <c r="I29" i="26" s="1"/>
  <c r="J27" i="26"/>
  <c r="J29" i="26" s="1"/>
  <c r="K27" i="26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G11" i="26"/>
  <c r="G13" i="26" s="1"/>
  <c r="H11" i="26"/>
  <c r="H13" i="26" s="1"/>
  <c r="I11" i="26"/>
  <c r="I13" i="26" s="1"/>
  <c r="J11" i="26"/>
  <c r="K11" i="26"/>
  <c r="K13" i="26" s="1"/>
  <c r="L11" i="26"/>
  <c r="L13" i="26" s="1"/>
  <c r="M11" i="26"/>
  <c r="M13" i="26" s="1"/>
  <c r="N11" i="26"/>
  <c r="B11" i="26"/>
  <c r="B13" i="26" s="1"/>
  <c r="C7" i="26"/>
  <c r="C9" i="26" s="1"/>
  <c r="D7" i="26"/>
  <c r="D9" i="26" s="1"/>
  <c r="E7" i="26"/>
  <c r="F7" i="26"/>
  <c r="F9" i="26" s="1"/>
  <c r="G7" i="26"/>
  <c r="G9" i="26" s="1"/>
  <c r="H7" i="26"/>
  <c r="H9" i="26" s="1"/>
  <c r="I7" i="26"/>
  <c r="J7" i="26"/>
  <c r="J9" i="26" s="1"/>
  <c r="K7" i="26"/>
  <c r="K9" i="26" s="1"/>
  <c r="L7" i="26"/>
  <c r="L9" i="26" s="1"/>
  <c r="M7" i="26"/>
  <c r="N7" i="26"/>
  <c r="N9" i="26" s="1"/>
  <c r="B7" i="26"/>
  <c r="B9" i="26" s="1"/>
  <c r="C5" i="6" l="1"/>
  <c r="C9" i="2" l="1"/>
  <c r="D9" i="2"/>
  <c r="E9" i="2"/>
  <c r="F9" i="2"/>
  <c r="G9" i="2"/>
  <c r="G36" i="2" s="1"/>
  <c r="H9" i="2"/>
  <c r="I9" i="2"/>
  <c r="J9" i="2"/>
  <c r="K9" i="2"/>
  <c r="K36" i="2" s="1"/>
  <c r="L9" i="2"/>
  <c r="M9" i="2"/>
  <c r="N9" i="2"/>
  <c r="B9" i="2"/>
  <c r="K2" i="3"/>
  <c r="L2" i="3"/>
  <c r="M2" i="3"/>
  <c r="N2" i="3"/>
  <c r="J2" i="3"/>
  <c r="B5" i="2"/>
  <c r="C5" i="2"/>
  <c r="D5" i="2"/>
  <c r="E5" i="2"/>
  <c r="E36" i="2" s="1"/>
  <c r="F5" i="2"/>
  <c r="F36" i="2" s="1"/>
  <c r="G5" i="2"/>
  <c r="H5" i="2"/>
  <c r="I5" i="2"/>
  <c r="I36" i="2" s="1"/>
  <c r="J5" i="2"/>
  <c r="J36" i="2" s="1"/>
  <c r="K5" i="2"/>
  <c r="L5" i="2"/>
  <c r="L36" i="2" s="1"/>
  <c r="M5" i="2"/>
  <c r="M36" i="2" s="1"/>
  <c r="N5" i="2"/>
  <c r="N36" i="2" s="1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7" i="6"/>
  <c r="C2" i="6"/>
  <c r="C7" i="6" s="1"/>
  <c r="C12" i="1" s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D2" i="6" l="1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I15" i="1" s="1"/>
  <c r="J3" i="1"/>
  <c r="K3" i="1"/>
  <c r="K5" i="1" s="1"/>
  <c r="K15" i="1" s="1"/>
  <c r="K16" i="1" s="1"/>
  <c r="K17" i="1" s="1"/>
  <c r="L3" i="1"/>
  <c r="L5" i="1" s="1"/>
  <c r="L15" i="1" s="1"/>
  <c r="M3" i="1"/>
  <c r="N3" i="1"/>
  <c r="N5" i="1" s="1"/>
  <c r="N15" i="1" s="1"/>
  <c r="B3" i="1"/>
  <c r="J5" i="1" l="1"/>
  <c r="J15" i="1" s="1"/>
  <c r="H5" i="1"/>
  <c r="H15" i="1" s="1"/>
  <c r="H16" i="1" s="1"/>
  <c r="H17" i="1" s="1"/>
  <c r="N16" i="1"/>
  <c r="N17" i="1" s="1"/>
  <c r="J16" i="1"/>
  <c r="J17" i="1" s="1"/>
  <c r="I16" i="1"/>
  <c r="I17" i="1" s="1"/>
  <c r="L16" i="1"/>
  <c r="L17" i="1" s="1"/>
  <c r="L21" i="1" s="1"/>
  <c r="M5" i="1"/>
  <c r="M15" i="1" s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F15" i="1" s="1"/>
  <c r="G36" i="26"/>
  <c r="G4" i="1" s="1"/>
  <c r="G5" i="1" s="1"/>
  <c r="G15" i="1" s="1"/>
  <c r="G16" i="1" s="1"/>
  <c r="G17" i="1" s="1"/>
  <c r="D21" i="1" l="1"/>
  <c r="I21" i="1"/>
  <c r="E21" i="1"/>
  <c r="H21" i="1"/>
  <c r="J21" i="1"/>
  <c r="K21" i="1"/>
  <c r="M16" i="1"/>
  <c r="N21" i="1" s="1"/>
  <c r="F16" i="1"/>
  <c r="G21" i="1" s="1"/>
  <c r="F17" i="1" l="1"/>
  <c r="F21" i="1" s="1"/>
  <c r="M17" i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R5" i="1" s="1"/>
  <c r="R15" i="1" s="1"/>
  <c r="R16" i="1" s="1"/>
  <c r="R17" i="1" s="1"/>
  <c r="Q17" i="2"/>
  <c r="Q36" i="2" s="1"/>
  <c r="Q3" i="1" s="1"/>
  <c r="Q5" i="1" s="1"/>
  <c r="Q15" i="1" s="1"/>
  <c r="Q16" i="1" s="1"/>
  <c r="Q17" i="1" s="1"/>
  <c r="P17" i="2"/>
  <c r="P36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T5" i="1" s="1"/>
  <c r="T15" i="1" s="1"/>
  <c r="T16" i="1" s="1"/>
  <c r="T17" i="1" s="1"/>
  <c r="T21" i="1" s="1"/>
  <c r="V36" i="2"/>
  <c r="V3" i="1" s="1"/>
  <c r="V5" i="1" s="1"/>
  <c r="V15" i="1" s="1"/>
  <c r="V16" i="1" s="1"/>
  <c r="V17" i="1" s="1"/>
  <c r="V21" i="1" s="1"/>
  <c r="U36" i="2"/>
  <c r="U3" i="1" s="1"/>
  <c r="U5" i="1" s="1"/>
  <c r="U15" i="1" s="1"/>
  <c r="U16" i="1" s="1"/>
  <c r="U17" i="1" s="1"/>
  <c r="U21" i="1" s="1"/>
  <c r="T32" i="1" l="1"/>
  <c r="T33" i="1" s="1"/>
  <c r="X36" i="2"/>
  <c r="X3" i="1" s="1"/>
  <c r="X5" i="1" s="1"/>
  <c r="X15" i="1" s="1"/>
  <c r="X16" i="1" s="1"/>
  <c r="X17" i="1" s="1"/>
  <c r="X21" i="1" s="1"/>
  <c r="Y36" i="2"/>
  <c r="Y3" i="1" s="1"/>
  <c r="Y5" i="1" s="1"/>
  <c r="Y15" i="1" s="1"/>
  <c r="Y16" i="1" s="1"/>
  <c r="Y17" i="1" s="1"/>
  <c r="Y21" i="1" s="1"/>
  <c r="Z36" i="2"/>
  <c r="Z3" i="1" s="1"/>
  <c r="Z5" i="1" s="1"/>
  <c r="Z15" i="1" s="1"/>
  <c r="Z16" i="1" s="1"/>
  <c r="Z17" i="1" s="1"/>
  <c r="Z21" i="1" s="1"/>
  <c r="X32" i="1" l="1"/>
  <c r="X33" i="1" s="1"/>
  <c r="O4" i="1" l="1"/>
  <c r="O36" i="2" l="1"/>
  <c r="O3" i="1" l="1"/>
  <c r="O5" i="1" s="1"/>
  <c r="S36" i="2"/>
  <c r="S3" i="1" s="1"/>
  <c r="S5" i="1" s="1"/>
  <c r="S15" i="1" s="1"/>
  <c r="S16" i="1" s="1"/>
  <c r="S17" i="1" s="1"/>
  <c r="S21" i="1" s="1"/>
  <c r="W36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l="1"/>
  <c r="C32" i="1" s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<sst xmlns="http://schemas.openxmlformats.org/spreadsheetml/2006/main" count="135" uniqueCount="66">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</sst>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</cellXfs>
  <cellStyles count="45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Обычный_финансовые расходы" xfId="44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tabSelected="1" zoomScale="85" zoomScaleNormal="85" workbookViewId="0">
      <selection activeCell="B12" sqref="B12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4" x14ac:dyDescent="0.2">
      <c r="A2" s="18" t="s">
        <v>17</v>
      </c>
      <c r="B2" s="82">
        <v>5297</v>
      </c>
      <c r="C2" s="82">
        <f>B33</f>
        <v>9007.3295825888126</v>
      </c>
      <c r="D2" s="82">
        <f t="shared" ref="D2:N2" si="0">C33</f>
        <v>1223.0836921543814</v>
      </c>
      <c r="E2" s="82">
        <f t="shared" si="0"/>
        <v>69277.039922859738</v>
      </c>
      <c r="F2" s="82">
        <f t="shared" si="0"/>
        <v>61247.000496617293</v>
      </c>
      <c r="G2" s="82">
        <f t="shared" si="0"/>
        <v>3100.9871385815059</v>
      </c>
      <c r="H2" s="82">
        <f t="shared" si="0"/>
        <v>2020.0594801683183</v>
      </c>
      <c r="I2" s="82">
        <f t="shared" si="0"/>
        <v>33196.388646817621</v>
      </c>
      <c r="J2" s="82">
        <f t="shared" si="0"/>
        <v>1928.8590029692568</v>
      </c>
      <c r="K2" s="82">
        <f t="shared" si="0"/>
        <v>24114.229957708769</v>
      </c>
      <c r="L2" s="82">
        <f t="shared" si="0"/>
        <v>6912.6069385532173</v>
      </c>
      <c r="M2" s="82">
        <f t="shared" si="0"/>
        <v>20970.207451511022</v>
      </c>
      <c r="N2" s="82">
        <f t="shared" si="0"/>
        <v>74610.68235816239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4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4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4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4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4" x14ac:dyDescent="0.2">
      <c r="A7" s="17" t="s">
        <v>22</v>
      </c>
      <c r="B7" s="28">
        <v>5221.439758164277</v>
      </c>
      <c r="C7" s="28">
        <v>4768.8811122701245</v>
      </c>
      <c r="D7" s="28">
        <v>5351.5409941807829</v>
      </c>
      <c r="E7" s="28">
        <v>6525.6827575084271</v>
      </c>
      <c r="F7" s="28">
        <v>5636.3111488194199</v>
      </c>
      <c r="G7" s="28">
        <v>7309.6442806711475</v>
      </c>
      <c r="H7" s="28">
        <v>8865.972725922642</v>
      </c>
      <c r="I7" s="28">
        <v>11826.222190076429</v>
      </c>
      <c r="J7" s="28">
        <v>10160.102424128732</v>
      </c>
      <c r="K7" s="28">
        <v>12414.43515321363</v>
      </c>
      <c r="L7" s="28">
        <v>14036.113795734927</v>
      </c>
      <c r="M7" s="28">
        <v>10497.702827341975</v>
      </c>
      <c r="N7" s="28">
        <v>13182.700055503201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4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4" x14ac:dyDescent="0.25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42711.5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4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4" x14ac:dyDescent="0.25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3.95" customHeight="1" x14ac:dyDescent="0.2">
      <c r="A15" s="19" t="s">
        <v>28</v>
      </c>
      <c r="B15" s="83">
        <f>B5+B6-B7-B8-B9-B10+B11-B12-B13+B14</f>
        <v>17826.538997175106</v>
      </c>
      <c r="C15" s="83">
        <f t="shared" ref="C15:N15" si="4">C5+C6-C7-C8-C9-C10+C11-C12-C13+C14</f>
        <v>33070.160835594659</v>
      </c>
      <c r="D15" s="83">
        <f t="shared" si="4"/>
        <v>67579.277083229696</v>
      </c>
      <c r="E15" s="83">
        <f t="shared" si="4"/>
        <v>55642.275426845103</v>
      </c>
      <c r="F15" s="83">
        <f t="shared" si="4"/>
        <v>26500.938760144178</v>
      </c>
      <c r="G15" s="83">
        <f t="shared" si="4"/>
        <v>33273.800145467067</v>
      </c>
      <c r="H15" s="83">
        <f t="shared" si="4"/>
        <v>49599.57480218578</v>
      </c>
      <c r="I15" s="83">
        <f t="shared" si="4"/>
        <v>25160.356509422771</v>
      </c>
      <c r="J15" s="83">
        <f t="shared" si="4"/>
        <v>49643.867442916679</v>
      </c>
      <c r="K15" s="83">
        <f t="shared" si="4"/>
        <v>46933.215811044458</v>
      </c>
      <c r="L15" s="83">
        <f t="shared" si="4"/>
        <v>82041.341962207123</v>
      </c>
      <c r="M15" s="83">
        <f t="shared" si="4"/>
        <v>51322.471370097323</v>
      </c>
      <c r="N15" s="83">
        <f t="shared" si="4"/>
        <v>52162.843400507001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5" customHeight="1" x14ac:dyDescent="0.2">
      <c r="A16" s="17" t="s">
        <v>48</v>
      </c>
      <c r="B16" s="82">
        <f>B15*0.18</f>
        <v>3208.7770194915192</v>
      </c>
      <c r="C16" s="82">
        <f t="shared" ref="C16:N16" si="6">C15*0.18</f>
        <v>5952.6289504070382</v>
      </c>
      <c r="D16" s="82">
        <f t="shared" si="6"/>
        <v>12164.269874981344</v>
      </c>
      <c r="E16" s="82">
        <f t="shared" si="6"/>
        <v>10015.609576832117</v>
      </c>
      <c r="F16" s="82">
        <f t="shared" si="6"/>
        <v>4770.1689768259521</v>
      </c>
      <c r="G16" s="82">
        <f t="shared" si="6"/>
        <v>5989.284026184072</v>
      </c>
      <c r="H16" s="82">
        <f t="shared" si="6"/>
        <v>8927.9234643934396</v>
      </c>
      <c r="I16" s="82">
        <f t="shared" si="6"/>
        <v>4528.8641716960983</v>
      </c>
      <c r="J16" s="82">
        <f t="shared" si="6"/>
        <v>8935.8961397250023</v>
      </c>
      <c r="K16" s="82">
        <f t="shared" si="6"/>
        <v>8447.9788459880019</v>
      </c>
      <c r="L16" s="82">
        <f t="shared" si="6"/>
        <v>14767.441553197281</v>
      </c>
      <c r="M16" s="82">
        <f t="shared" si="6"/>
        <v>9238.0448466175185</v>
      </c>
      <c r="N16" s="82">
        <f t="shared" si="6"/>
        <v>9389.3118120912604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4.4" x14ac:dyDescent="0.2">
      <c r="A17" s="19" t="s">
        <v>29</v>
      </c>
      <c r="B17" s="83">
        <f>B15-B16</f>
        <v>14617.761977683587</v>
      </c>
      <c r="C17" s="83">
        <f t="shared" ref="C17:N17" si="9">C15-C16</f>
        <v>27117.531885187622</v>
      </c>
      <c r="D17" s="83">
        <f t="shared" si="9"/>
        <v>55415.007208248353</v>
      </c>
      <c r="E17" s="83">
        <f t="shared" si="9"/>
        <v>45626.665850012985</v>
      </c>
      <c r="F17" s="83">
        <f t="shared" si="9"/>
        <v>21730.769783318225</v>
      </c>
      <c r="G17" s="83">
        <f t="shared" si="9"/>
        <v>27284.516119282995</v>
      </c>
      <c r="H17" s="83">
        <f t="shared" si="9"/>
        <v>40671.65133779234</v>
      </c>
      <c r="I17" s="83">
        <f t="shared" si="9"/>
        <v>20631.492337726671</v>
      </c>
      <c r="J17" s="83">
        <f t="shared" si="9"/>
        <v>40707.971303191676</v>
      </c>
      <c r="K17" s="83">
        <f t="shared" si="9"/>
        <v>38485.236965056458</v>
      </c>
      <c r="L17" s="83">
        <f t="shared" si="9"/>
        <v>67273.900409009846</v>
      </c>
      <c r="M17" s="83">
        <f t="shared" si="9"/>
        <v>42084.426523479808</v>
      </c>
      <c r="N17" s="83">
        <f t="shared" si="9"/>
        <v>42773.531588415739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4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4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4.4" x14ac:dyDescent="0.2">
      <c r="A21" s="19" t="s">
        <v>33</v>
      </c>
      <c r="B21" s="86">
        <f>B17+B10-B18-B19+B20-3520</f>
        <v>19235.761977683585</v>
      </c>
      <c r="C21" s="86">
        <f>C17+C10-C18-C19+C20-B16</f>
        <v>-5631.8978716509355</v>
      </c>
      <c r="D21" s="86">
        <f t="shared" ref="D21:N21" si="12">D17+D10-D18-D19+D20-C16</f>
        <v>90017.747171472976</v>
      </c>
      <c r="E21" s="86">
        <f t="shared" si="12"/>
        <v>835.75286392889939</v>
      </c>
      <c r="F21" s="86">
        <f t="shared" si="12"/>
        <v>-1755.5187495906066</v>
      </c>
      <c r="G21" s="86">
        <f t="shared" si="12"/>
        <v>28644.30731081526</v>
      </c>
      <c r="H21" s="86">
        <f t="shared" si="12"/>
        <v>69119.058392408231</v>
      </c>
      <c r="I21" s="86">
        <f t="shared" si="12"/>
        <v>26392.56079026495</v>
      </c>
      <c r="J21" s="86">
        <f t="shared" si="12"/>
        <v>49046.282418732007</v>
      </c>
      <c r="K21" s="86">
        <f t="shared" si="12"/>
        <v>-6263.4713296089903</v>
      </c>
      <c r="L21" s="86">
        <f t="shared" si="12"/>
        <v>50358.596591673348</v>
      </c>
      <c r="M21" s="86">
        <f t="shared" si="12"/>
        <v>55874.369517417595</v>
      </c>
      <c r="N21" s="86">
        <f t="shared" si="12"/>
        <v>36145.160373940613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4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4.4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4" x14ac:dyDescent="0.25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4" x14ac:dyDescent="0.25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4" x14ac:dyDescent="0.25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4" x14ac:dyDescent="0.25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4" x14ac:dyDescent="0.25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4" x14ac:dyDescent="0.25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4" x14ac:dyDescent="0.25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4.4" x14ac:dyDescent="0.2">
      <c r="A31" s="19" t="s">
        <v>44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4.4" x14ac:dyDescent="0.2">
      <c r="A32" s="19" t="s">
        <v>45</v>
      </c>
      <c r="B32" s="86">
        <f>B21+B23+B31</f>
        <v>3710.3295825888126</v>
      </c>
      <c r="C32" s="86">
        <f t="shared" ref="C32:F32" si="19">C21+C23+C31</f>
        <v>-7784.2458904344312</v>
      </c>
      <c r="D32" s="86">
        <f t="shared" si="19"/>
        <v>68053.956230705357</v>
      </c>
      <c r="E32" s="86">
        <f t="shared" si="19"/>
        <v>-8030.039426242447</v>
      </c>
      <c r="F32" s="86">
        <f t="shared" si="19"/>
        <v>-58146.013358035787</v>
      </c>
      <c r="G32" s="86">
        <f>G21+G23+G31</f>
        <v>-1080.9276584131876</v>
      </c>
      <c r="H32" s="86">
        <f t="shared" ref="H32:O32" si="20">H21+H23+H31</f>
        <v>31176.329166649302</v>
      </c>
      <c r="I32" s="86">
        <f t="shared" si="20"/>
        <v>-31267.529643848364</v>
      </c>
      <c r="J32" s="86">
        <f t="shared" si="20"/>
        <v>22185.370954739512</v>
      </c>
      <c r="K32" s="86">
        <f t="shared" si="20"/>
        <v>-17201.623019155551</v>
      </c>
      <c r="L32" s="86">
        <f t="shared" si="20"/>
        <v>14057.600512957804</v>
      </c>
      <c r="M32" s="86">
        <f t="shared" si="20"/>
        <v>53640.474906651361</v>
      </c>
      <c r="N32" s="86">
        <f t="shared" si="20"/>
        <v>35848.849253184788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4.4" x14ac:dyDescent="0.2">
      <c r="A33" s="19" t="s">
        <v>46</v>
      </c>
      <c r="B33" s="89">
        <f t="shared" ref="B33:Z33" si="22">B32+B2</f>
        <v>9007.3295825888126</v>
      </c>
      <c r="C33" s="89">
        <f t="shared" si="22"/>
        <v>1223.0836921543814</v>
      </c>
      <c r="D33" s="89">
        <f t="shared" si="22"/>
        <v>69277.039922859738</v>
      </c>
      <c r="E33" s="89">
        <f t="shared" si="22"/>
        <v>61247.000496617293</v>
      </c>
      <c r="F33" s="89">
        <f t="shared" si="22"/>
        <v>3100.9871385815059</v>
      </c>
      <c r="G33" s="89">
        <f t="shared" si="22"/>
        <v>2020.0594801683183</v>
      </c>
      <c r="H33" s="89">
        <f t="shared" si="22"/>
        <v>33196.388646817621</v>
      </c>
      <c r="I33" s="89">
        <f t="shared" si="22"/>
        <v>1928.8590029692568</v>
      </c>
      <c r="J33" s="89">
        <f t="shared" si="22"/>
        <v>24114.229957708769</v>
      </c>
      <c r="K33" s="89">
        <f t="shared" si="22"/>
        <v>6912.6069385532173</v>
      </c>
      <c r="L33" s="89">
        <f t="shared" si="22"/>
        <v>20970.207451511022</v>
      </c>
      <c r="M33" s="89">
        <f t="shared" si="22"/>
        <v>74610.68235816239</v>
      </c>
      <c r="N33" s="89">
        <f t="shared" si="22"/>
        <v>110459.53161134718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workbookViewId="0"/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3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3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3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3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3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3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3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3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3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3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3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3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3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3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3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3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3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3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3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3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3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3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3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3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3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3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3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3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3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3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3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3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3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3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3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3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3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3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3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3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3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3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3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3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3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3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3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3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3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3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3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3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3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3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3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3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3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3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3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4" sqref="A4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8.8" customHeight="1" x14ac:dyDescent="0.3">
      <c r="A2" s="84" t="s">
        <v>49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8.8" customHeight="1" x14ac:dyDescent="0.3">
      <c r="A3" s="84" t="s">
        <v>50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8.8" customHeight="1" x14ac:dyDescent="0.3">
      <c r="A4" s="84" t="s">
        <v>51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80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52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53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54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55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57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56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L5" sqref="L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61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62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58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63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59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60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selection activeCell="C19" sqref="C19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93" t="s">
        <v>64</v>
      </c>
      <c r="B1" s="93" t="s">
        <v>65</v>
      </c>
    </row>
    <row r="2" spans="1:2" x14ac:dyDescent="0.3">
      <c r="A2" s="94">
        <v>1</v>
      </c>
      <c r="B2" s="93" t="s">
        <v>1</v>
      </c>
    </row>
    <row r="3" spans="1:2" x14ac:dyDescent="0.3">
      <c r="A3" s="94">
        <v>2</v>
      </c>
      <c r="B3" s="93" t="s">
        <v>3</v>
      </c>
    </row>
    <row r="4" spans="1:2" x14ac:dyDescent="0.3">
      <c r="A4" s="94">
        <v>3</v>
      </c>
      <c r="B4" s="93" t="s">
        <v>4</v>
      </c>
    </row>
    <row r="5" spans="1:2" x14ac:dyDescent="0.3">
      <c r="A5" s="94">
        <v>4</v>
      </c>
      <c r="B5" s="93" t="s">
        <v>5</v>
      </c>
    </row>
    <row r="6" spans="1:2" x14ac:dyDescent="0.3">
      <c r="A6" s="94">
        <v>5</v>
      </c>
      <c r="B6" s="93" t="s">
        <v>6</v>
      </c>
    </row>
    <row r="7" spans="1:2" x14ac:dyDescent="0.3">
      <c r="A7" s="94">
        <v>6</v>
      </c>
      <c r="B7" s="93" t="s">
        <v>7</v>
      </c>
    </row>
    <row r="8" spans="1:2" x14ac:dyDescent="0.3">
      <c r="A8" s="94">
        <v>7</v>
      </c>
      <c r="B8" s="93" t="s">
        <v>8</v>
      </c>
    </row>
    <row r="9" spans="1:2" x14ac:dyDescent="0.3">
      <c r="A9" s="94">
        <v>8</v>
      </c>
      <c r="B9" s="93" t="s">
        <v>9</v>
      </c>
    </row>
    <row r="10" spans="1:2" x14ac:dyDescent="0.3">
      <c r="A10" s="94">
        <v>9</v>
      </c>
      <c r="B10" s="93" t="s">
        <v>2</v>
      </c>
    </row>
    <row r="11" spans="1:2" x14ac:dyDescent="0.3">
      <c r="A11" s="94">
        <v>10</v>
      </c>
      <c r="B11" s="93" t="s">
        <v>10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Cash Flow Statement_Actual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2026-05-27T11:19:22Z</dcterms:modified>
</cp:coreProperties>
</file>